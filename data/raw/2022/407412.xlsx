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0過去データ（Mドライブ等）\令和４年度\企画調整グループ\D 事業別\c 観光統計\01_観光入込客統計（共通基準）\08_冊子作成・公表\R4HP公表用\"/>
    </mc:Choice>
  </mc:AlternateContent>
  <xr:revisionPtr revIDLastSave="0" documentId="13_ncr:1_{1485DB48-B8D5-416E-940F-A4475D2DF16D}" xr6:coauthVersionLast="36" xr6:coauthVersionMax="36" xr10:uidLastSave="{00000000-0000-0000-0000-000000000000}"/>
  <bookViews>
    <workbookView xWindow="180" yWindow="-375" windowWidth="12915" windowHeight="8715" xr2:uid="{00000000-000D-0000-FFFF-FFFF00000000}"/>
  </bookViews>
  <sheets>
    <sheet name="第１表" sheetId="47" r:id="rId1"/>
    <sheet name="第２、３表" sheetId="48" r:id="rId2"/>
    <sheet name="表4(1)～(3)" sheetId="49" r:id="rId3"/>
    <sheet name="表4(4)～(5)" sheetId="50" r:id="rId4"/>
    <sheet name="表4(6)～(7)" sheetId="51" r:id="rId5"/>
    <sheet name="表5市町村合計" sheetId="52" r:id="rId6"/>
    <sheet name="表6市町村別分類別" sheetId="53" r:id="rId7"/>
    <sheet name="表7" sheetId="54" r:id="rId8"/>
    <sheet name="別表第1" sheetId="55" r:id="rId9"/>
    <sheet name="別表第2-1" sheetId="56" r:id="rId10"/>
    <sheet name="別表第2-2①②" sheetId="57" r:id="rId11"/>
    <sheet name="別表第2-2③④" sheetId="58" r:id="rId12"/>
  </sheets>
  <definedNames>
    <definedName name="_xlnm._FilterDatabase" localSheetId="6" hidden="1">表6市町村別分類別!$A$1:$I$39</definedName>
    <definedName name="_xlnm._FilterDatabase" localSheetId="7" hidden="1">表7!$A$5:$H$196</definedName>
    <definedName name="_xlnm.Print_Area" localSheetId="0">第１表!$A$1:$C$15</definedName>
    <definedName name="_xlnm.Print_Area" localSheetId="1">'第２、３表'!$B$1:$Q$69</definedName>
    <definedName name="_xlnm.Print_Area" localSheetId="2">'表4(1)～(3)'!$A$1:$P$85</definedName>
    <definedName name="_xlnm.Print_Area" localSheetId="3">'表4(4)～(5)'!$A$1:$P$60</definedName>
    <definedName name="_xlnm.Print_Area" localSheetId="4">'表4(6)～(7)'!$A$1:$P$60</definedName>
    <definedName name="_xlnm.Print_Area" localSheetId="5">表5市町村合計!$A$1:$Q$42</definedName>
    <definedName name="_xlnm.Print_Area" localSheetId="6">表6市町村別分類別!$A$1:$I$39</definedName>
    <definedName name="_xlnm.Print_Area" localSheetId="7">表7!$A$1:$H$196</definedName>
    <definedName name="_xlnm.Print_Area" localSheetId="8">別表第1!$A$1:$AA$16</definedName>
    <definedName name="_xlnm.Print_Area" localSheetId="9">'別表第2-1'!$A$1:$Y$17</definedName>
    <definedName name="_xlnm.Print_Area" localSheetId="10">'別表第2-2①②'!$B$1:$Z$31</definedName>
    <definedName name="_xlnm.Print_Area" localSheetId="11">'別表第2-2③④'!$B$1:$Z$31</definedName>
    <definedName name="_xlnm.Print_Titles" localSheetId="7">表7!$5:$5</definedName>
  </definedNames>
  <calcPr calcId="191029"/>
</workbook>
</file>

<file path=xl/calcChain.xml><?xml version="1.0" encoding="utf-8"?>
<calcChain xmlns="http://schemas.openxmlformats.org/spreadsheetml/2006/main">
  <c r="F32" i="58" l="1"/>
  <c r="C32" i="58"/>
  <c r="N96" i="51" l="1"/>
  <c r="N97" i="50"/>
  <c r="C14" i="47" l="1"/>
  <c r="C15" i="47" l="1"/>
</calcChain>
</file>

<file path=xl/sharedStrings.xml><?xml version="1.0" encoding="utf-8"?>
<sst xmlns="http://schemas.openxmlformats.org/spreadsheetml/2006/main" count="1281" uniqueCount="464">
  <si>
    <t>４月</t>
    <rPh sb="1" eb="2">
      <t>ガツ</t>
    </rPh>
    <phoneticPr fontId="2"/>
  </si>
  <si>
    <t>５月</t>
    <rPh sb="1" eb="2">
      <t>ガツ</t>
    </rPh>
    <phoneticPr fontId="2"/>
  </si>
  <si>
    <t>６月</t>
    <rPh sb="1" eb="2">
      <t>ガツ</t>
    </rPh>
    <phoneticPr fontId="2"/>
  </si>
  <si>
    <t>７月</t>
    <rPh sb="1" eb="2">
      <t>ガツ</t>
    </rPh>
    <phoneticPr fontId="2"/>
  </si>
  <si>
    <t>８月</t>
    <rPh sb="1" eb="2">
      <t>ガツ</t>
    </rPh>
    <phoneticPr fontId="2"/>
  </si>
  <si>
    <t>９月</t>
    <rPh sb="1" eb="2">
      <t>ガツ</t>
    </rPh>
    <phoneticPr fontId="2"/>
  </si>
  <si>
    <t>１月</t>
    <rPh sb="1" eb="2">
      <t>ガツ</t>
    </rPh>
    <phoneticPr fontId="2"/>
  </si>
  <si>
    <t>２月</t>
    <rPh sb="1" eb="2">
      <t>ガツ</t>
    </rPh>
    <phoneticPr fontId="2"/>
  </si>
  <si>
    <t>３月</t>
    <rPh sb="1" eb="2">
      <t>ガツ</t>
    </rPh>
    <phoneticPr fontId="2"/>
  </si>
  <si>
    <t>自然</t>
    <rPh sb="0" eb="2">
      <t>シゼン</t>
    </rPh>
    <phoneticPr fontId="2"/>
  </si>
  <si>
    <t>歴史・文化</t>
    <rPh sb="0" eb="2">
      <t>レキシ</t>
    </rPh>
    <rPh sb="3" eb="5">
      <t>ブンカ</t>
    </rPh>
    <phoneticPr fontId="2"/>
  </si>
  <si>
    <t>温泉・健康</t>
    <rPh sb="0" eb="2">
      <t>オンセン</t>
    </rPh>
    <rPh sb="3" eb="5">
      <t>ケンコウ</t>
    </rPh>
    <phoneticPr fontId="2"/>
  </si>
  <si>
    <t>都市型観光</t>
    <rPh sb="0" eb="3">
      <t>トシガタ</t>
    </rPh>
    <rPh sb="3" eb="5">
      <t>カンコウ</t>
    </rPh>
    <phoneticPr fontId="2"/>
  </si>
  <si>
    <t>その他</t>
    <rPh sb="2" eb="3">
      <t>タ</t>
    </rPh>
    <phoneticPr fontId="2"/>
  </si>
  <si>
    <t>行祭事・イベント</t>
    <rPh sb="0" eb="3">
      <t>ギョウサイジ</t>
    </rPh>
    <phoneticPr fontId="2"/>
  </si>
  <si>
    <t>中越地域</t>
    <rPh sb="0" eb="2">
      <t>チュウエツ</t>
    </rPh>
    <rPh sb="2" eb="4">
      <t>チイキ</t>
    </rPh>
    <phoneticPr fontId="2"/>
  </si>
  <si>
    <t>魚沼地域</t>
    <rPh sb="0" eb="2">
      <t>ウオヌマ</t>
    </rPh>
    <rPh sb="2" eb="4">
      <t>チイキ</t>
    </rPh>
    <phoneticPr fontId="2"/>
  </si>
  <si>
    <t>上越地域</t>
    <rPh sb="0" eb="2">
      <t>ジョウエツ</t>
    </rPh>
    <rPh sb="2" eb="4">
      <t>チイキ</t>
    </rPh>
    <phoneticPr fontId="2"/>
  </si>
  <si>
    <t>佐渡地域</t>
    <rPh sb="0" eb="2">
      <t>サド</t>
    </rPh>
    <rPh sb="2" eb="4">
      <t>チイキ</t>
    </rPh>
    <phoneticPr fontId="2"/>
  </si>
  <si>
    <t>総  数</t>
    <rPh sb="0" eb="1">
      <t>フサ</t>
    </rPh>
    <rPh sb="3" eb="4">
      <t>カズ</t>
    </rPh>
    <phoneticPr fontId="2"/>
  </si>
  <si>
    <t>月別　計</t>
    <rPh sb="0" eb="2">
      <t>ツキベツ</t>
    </rPh>
    <rPh sb="3" eb="4">
      <t>ケイ</t>
    </rPh>
    <phoneticPr fontId="2"/>
  </si>
  <si>
    <t>四半期別　計</t>
    <rPh sb="0" eb="3">
      <t>シハンキ</t>
    </rPh>
    <rPh sb="3" eb="4">
      <t>ベツ</t>
    </rPh>
    <rPh sb="5" eb="6">
      <t>ケイ</t>
    </rPh>
    <phoneticPr fontId="2"/>
  </si>
  <si>
    <t>１～３月</t>
    <rPh sb="3" eb="4">
      <t>ガツ</t>
    </rPh>
    <phoneticPr fontId="2"/>
  </si>
  <si>
    <t>４～６月</t>
    <rPh sb="3" eb="4">
      <t>ガツ</t>
    </rPh>
    <phoneticPr fontId="2"/>
  </si>
  <si>
    <t>７～９月</t>
    <rPh sb="3" eb="4">
      <t>ガツ</t>
    </rPh>
    <phoneticPr fontId="2"/>
  </si>
  <si>
    <t>対前年比</t>
    <rPh sb="0" eb="1">
      <t>タイ</t>
    </rPh>
    <rPh sb="1" eb="4">
      <t>ゼンネンヒ</t>
    </rPh>
    <phoneticPr fontId="2"/>
  </si>
  <si>
    <t>月　別　観　光　客</t>
    <rPh sb="0" eb="3">
      <t>ツキベツ</t>
    </rPh>
    <rPh sb="4" eb="9">
      <t>カンコウキャク</t>
    </rPh>
    <phoneticPr fontId="2"/>
  </si>
  <si>
    <t>平成20年</t>
    <rPh sb="0" eb="2">
      <t>ヘイセイ</t>
    </rPh>
    <rPh sb="4" eb="5">
      <t>ネン</t>
    </rPh>
    <phoneticPr fontId="2"/>
  </si>
  <si>
    <t>（単位：地点、人）</t>
    <rPh sb="1" eb="3">
      <t>タンイ</t>
    </rPh>
    <rPh sb="4" eb="6">
      <t>チテン</t>
    </rPh>
    <rPh sb="7" eb="8">
      <t>ヒト</t>
    </rPh>
    <phoneticPr fontId="2"/>
  </si>
  <si>
    <t>-</t>
    <phoneticPr fontId="2"/>
  </si>
  <si>
    <t>第２表　地域別観光客の状況(四半期別・月別)</t>
    <rPh sb="0" eb="1">
      <t>ダイ</t>
    </rPh>
    <rPh sb="2" eb="3">
      <t>ヒョウ</t>
    </rPh>
    <rPh sb="4" eb="6">
      <t>チイキ</t>
    </rPh>
    <rPh sb="6" eb="7">
      <t>ベツ</t>
    </rPh>
    <rPh sb="7" eb="10">
      <t>カンコウキャク</t>
    </rPh>
    <rPh sb="11" eb="13">
      <t>ジョウキョウ</t>
    </rPh>
    <rPh sb="14" eb="17">
      <t>シハンキ</t>
    </rPh>
    <rPh sb="17" eb="18">
      <t>ベツ</t>
    </rPh>
    <rPh sb="19" eb="21">
      <t>ツキベツ</t>
    </rPh>
    <phoneticPr fontId="2"/>
  </si>
  <si>
    <t>-</t>
    <phoneticPr fontId="2"/>
  </si>
  <si>
    <t>-</t>
    <phoneticPr fontId="2"/>
  </si>
  <si>
    <t>平成16年</t>
    <phoneticPr fontId="2"/>
  </si>
  <si>
    <t>平成17年</t>
    <phoneticPr fontId="2"/>
  </si>
  <si>
    <t>平成18年</t>
    <phoneticPr fontId="2"/>
  </si>
  <si>
    <t>平成19年</t>
    <phoneticPr fontId="2"/>
  </si>
  <si>
    <t>下越地域</t>
    <rPh sb="0" eb="2">
      <t>カエツ</t>
    </rPh>
    <rPh sb="2" eb="4">
      <t>チイキ</t>
    </rPh>
    <phoneticPr fontId="2"/>
  </si>
  <si>
    <t>前年度月別　計</t>
    <rPh sb="0" eb="3">
      <t>ゼンネンド</t>
    </rPh>
    <rPh sb="3" eb="5">
      <t>ツキベツ</t>
    </rPh>
    <rPh sb="6" eb="7">
      <t>ケイ</t>
    </rPh>
    <phoneticPr fontId="2"/>
  </si>
  <si>
    <t>前年度四半期別　計</t>
    <rPh sb="0" eb="3">
      <t>ゼンネンド</t>
    </rPh>
    <rPh sb="3" eb="6">
      <t>シハンキ</t>
    </rPh>
    <rPh sb="6" eb="7">
      <t>ベツ</t>
    </rPh>
    <rPh sb="8" eb="9">
      <t>ケイ</t>
    </rPh>
    <phoneticPr fontId="2"/>
  </si>
  <si>
    <t>　　　　　 月別
　 地域別　　　　　　　　　　　　　　　　　　　　　　　　　　</t>
    <rPh sb="6" eb="8">
      <t>ツキベツ</t>
    </rPh>
    <rPh sb="13" eb="15">
      <t>チイキ</t>
    </rPh>
    <rPh sb="15" eb="16">
      <t>モクテキベツ</t>
    </rPh>
    <phoneticPr fontId="2"/>
  </si>
  <si>
    <t>調査年</t>
    <rPh sb="0" eb="2">
      <t>チョウサ</t>
    </rPh>
    <rPh sb="2" eb="3">
      <t>ネン</t>
    </rPh>
    <phoneticPr fontId="2"/>
  </si>
  <si>
    <t>10～12月</t>
    <rPh sb="5" eb="6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</si>
  <si>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</si>
  <si>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</si>
  <si>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12月</t>
    <rPh sb="2" eb="3">
      <t>ガツ</t>
    </rPh>
    <phoneticPr fontId="2"/>
  </si>
  <si>
    <t>スポーツ・
レクリエーション</t>
    <phoneticPr fontId="2"/>
  </si>
  <si>
    <t>- 30 -</t>
    <phoneticPr fontId="2"/>
  </si>
  <si>
    <t>- 31 -</t>
    <phoneticPr fontId="2"/>
  </si>
  <si>
    <t>対前年増減率</t>
    <rPh sb="0" eb="1">
      <t>タイ</t>
    </rPh>
    <rPh sb="1" eb="3">
      <t>ゼンネン</t>
    </rPh>
    <rPh sb="3" eb="5">
      <t>ゾウゲン</t>
    </rPh>
    <rPh sb="5" eb="6">
      <t>リツ</t>
    </rPh>
    <phoneticPr fontId="2"/>
  </si>
  <si>
    <t>対前年
増減率</t>
    <rPh sb="0" eb="1">
      <t>タイ</t>
    </rPh>
    <rPh sb="1" eb="3">
      <t>ゼンネン</t>
    </rPh>
    <rPh sb="4" eb="6">
      <t>ゾウゲン</t>
    </rPh>
    <rPh sb="6" eb="7">
      <t>リツ</t>
    </rPh>
    <phoneticPr fontId="2"/>
  </si>
  <si>
    <t>第１表　観光客入込数の推移</t>
    <rPh sb="0" eb="1">
      <t>ダイ</t>
    </rPh>
    <rPh sb="2" eb="3">
      <t>ヒョウ</t>
    </rPh>
    <rPh sb="4" eb="7">
      <t>カンコウキャク</t>
    </rPh>
    <rPh sb="7" eb="8">
      <t>イ</t>
    </rPh>
    <rPh sb="8" eb="9">
      <t>コ</t>
    </rPh>
    <rPh sb="9" eb="10">
      <t>スウ</t>
    </rPh>
    <rPh sb="11" eb="13">
      <t>スイイ</t>
    </rPh>
    <phoneticPr fontId="2"/>
  </si>
  <si>
    <t>第３表　分類別観光客の状況(四半期別・月別)</t>
    <rPh sb="0" eb="1">
      <t>ダイ</t>
    </rPh>
    <rPh sb="2" eb="3">
      <t>ヒョウ</t>
    </rPh>
    <rPh sb="4" eb="6">
      <t>ブンルイ</t>
    </rPh>
    <rPh sb="6" eb="7">
      <t>ベツ</t>
    </rPh>
    <rPh sb="7" eb="10">
      <t>カンコウキャク</t>
    </rPh>
    <rPh sb="11" eb="13">
      <t>ジョウキョウ</t>
    </rPh>
    <rPh sb="14" eb="17">
      <t>シハンキ</t>
    </rPh>
    <rPh sb="17" eb="18">
      <t>ベツ</t>
    </rPh>
    <rPh sb="19" eb="21">
      <t>ツキベツ</t>
    </rPh>
    <phoneticPr fontId="2"/>
  </si>
  <si>
    <t>　　　　　 月別
　 分類別　　　　　　　　　　　　　　　　　　　　　　　　　　</t>
    <rPh sb="6" eb="8">
      <t>ツキベツ</t>
    </rPh>
    <rPh sb="13" eb="15">
      <t>ブンルイ</t>
    </rPh>
    <rPh sb="15" eb="16">
      <t>モクテキベツ</t>
    </rPh>
    <phoneticPr fontId="2"/>
  </si>
  <si>
    <t>R3 計</t>
    <rPh sb="3" eb="4">
      <t>ケイ</t>
    </rPh>
    <phoneticPr fontId="2"/>
  </si>
  <si>
    <t>平成25年</t>
  </si>
  <si>
    <t>平成26年</t>
  </si>
  <si>
    <t>平成27年</t>
  </si>
  <si>
    <t>平成28年</t>
  </si>
  <si>
    <t>平成29年</t>
  </si>
  <si>
    <t>平成30年</t>
  </si>
  <si>
    <t>平成31年/令和元年</t>
  </si>
  <si>
    <t>令和２年</t>
  </si>
  <si>
    <t>令和３年</t>
  </si>
  <si>
    <t>令和４年</t>
    <rPh sb="0" eb="2">
      <t>レイワ</t>
    </rPh>
    <rPh sb="3" eb="4">
      <t>ネン</t>
    </rPh>
    <phoneticPr fontId="2"/>
  </si>
  <si>
    <t>R4 計</t>
    <rPh sb="3" eb="4">
      <t>ケイ</t>
    </rPh>
    <phoneticPr fontId="2"/>
  </si>
  <si>
    <t>R4 計</t>
  </si>
  <si>
    <t>R3 計</t>
  </si>
  <si>
    <t xml:space="preserve"> 第４表　分類別［地域別］観光客の状況(個別表)</t>
    <rPh sb="1" eb="2">
      <t>ダイ</t>
    </rPh>
    <rPh sb="3" eb="4">
      <t>ヒョウ</t>
    </rPh>
    <rPh sb="5" eb="7">
      <t>ブンルイ</t>
    </rPh>
    <rPh sb="7" eb="8">
      <t>ベツ</t>
    </rPh>
    <rPh sb="9" eb="11">
      <t>チイキ</t>
    </rPh>
    <rPh sb="11" eb="12">
      <t>ベツ</t>
    </rPh>
    <rPh sb="13" eb="16">
      <t>カンコウキャク</t>
    </rPh>
    <rPh sb="17" eb="19">
      <t>ジョウキョウ</t>
    </rPh>
    <rPh sb="20" eb="22">
      <t>コベツ</t>
    </rPh>
    <rPh sb="22" eb="23">
      <t>ヒョウ</t>
    </rPh>
    <phoneticPr fontId="2"/>
  </si>
  <si>
    <t>（１）　自　 然</t>
    <rPh sb="4" eb="5">
      <t>ジ</t>
    </rPh>
    <rPh sb="7" eb="8">
      <t>ゼン</t>
    </rPh>
    <phoneticPr fontId="2"/>
  </si>
  <si>
    <t>（単位：人）</t>
    <phoneticPr fontId="2"/>
  </si>
  <si>
    <t>　　　　　 月別
 地域別</t>
    <rPh sb="6" eb="8">
      <t>ツキベツ</t>
    </rPh>
    <rPh sb="10" eb="12">
      <t>チイキ</t>
    </rPh>
    <phoneticPr fontId="2"/>
  </si>
  <si>
    <t>四　半　期　別　・　月　別　観　光　客</t>
    <rPh sb="0" eb="1">
      <t>ヨン</t>
    </rPh>
    <rPh sb="2" eb="3">
      <t>ハン</t>
    </rPh>
    <rPh sb="4" eb="5">
      <t>キ</t>
    </rPh>
    <rPh sb="6" eb="7">
      <t>ベツ</t>
    </rPh>
    <rPh sb="10" eb="13">
      <t>ツキベツ</t>
    </rPh>
    <rPh sb="14" eb="19">
      <t>カンコウキャク</t>
    </rPh>
    <phoneticPr fontId="2"/>
  </si>
  <si>
    <t>前年度四半期別計</t>
    <rPh sb="0" eb="2">
      <t>ゼンネン</t>
    </rPh>
    <rPh sb="2" eb="3">
      <t>ド</t>
    </rPh>
    <rPh sb="3" eb="6">
      <t>シハンキ</t>
    </rPh>
    <rPh sb="6" eb="7">
      <t>ベツ</t>
    </rPh>
    <rPh sb="7" eb="8">
      <t>ケイ</t>
    </rPh>
    <phoneticPr fontId="2"/>
  </si>
  <si>
    <t>（２）　歴史・文化</t>
    <rPh sb="4" eb="6">
      <t>レキシ</t>
    </rPh>
    <rPh sb="7" eb="9">
      <t>ブンカ</t>
    </rPh>
    <phoneticPr fontId="2"/>
  </si>
  <si>
    <t>（３）　温泉・健康</t>
    <rPh sb="4" eb="6">
      <t>オンセン</t>
    </rPh>
    <rPh sb="7" eb="9">
      <t>ケンコウ</t>
    </rPh>
    <phoneticPr fontId="2"/>
  </si>
  <si>
    <t>- 32 -</t>
    <phoneticPr fontId="2"/>
  </si>
  <si>
    <t>- 33 -</t>
    <phoneticPr fontId="2"/>
  </si>
  <si>
    <t>（４）　スポーツ・レクリエーション</t>
    <phoneticPr fontId="2"/>
  </si>
  <si>
    <t>（単位：人）</t>
    <rPh sb="1" eb="3">
      <t>タンイ</t>
    </rPh>
    <rPh sb="4" eb="5">
      <t>ニン</t>
    </rPh>
    <phoneticPr fontId="2"/>
  </si>
  <si>
    <t>（５）　都市型観光</t>
    <rPh sb="4" eb="7">
      <t>トシガタ</t>
    </rPh>
    <rPh sb="7" eb="9">
      <t>カンコウ</t>
    </rPh>
    <phoneticPr fontId="2"/>
  </si>
  <si>
    <t>－</t>
    <phoneticPr fontId="2"/>
  </si>
  <si>
    <t>- 34 -</t>
    <phoneticPr fontId="2"/>
  </si>
  <si>
    <t>- 35 -</t>
    <phoneticPr fontId="2"/>
  </si>
  <si>
    <t>（６）　その他</t>
    <rPh sb="6" eb="7">
      <t>タ</t>
    </rPh>
    <phoneticPr fontId="2"/>
  </si>
  <si>
    <t>（７）　行祭事・イベント</t>
    <rPh sb="4" eb="7">
      <t>ギョウサイジ</t>
    </rPh>
    <phoneticPr fontId="2"/>
  </si>
  <si>
    <t>- 36 -</t>
    <phoneticPr fontId="2"/>
  </si>
  <si>
    <t>　- 37 -</t>
    <phoneticPr fontId="2"/>
  </si>
  <si>
    <t xml:space="preserve"> 第５表  市町村別観光客入込数（月別）</t>
    <rPh sb="1" eb="2">
      <t>ダイ</t>
    </rPh>
    <rPh sb="3" eb="4">
      <t>ヒョウ</t>
    </rPh>
    <rPh sb="6" eb="9">
      <t>シチョウソン</t>
    </rPh>
    <rPh sb="9" eb="10">
      <t>ベツ</t>
    </rPh>
    <rPh sb="10" eb="13">
      <t>カンコウキャク</t>
    </rPh>
    <rPh sb="13" eb="14">
      <t>イリコ</t>
    </rPh>
    <rPh sb="14" eb="15">
      <t>コ</t>
    </rPh>
    <rPh sb="15" eb="16">
      <t>スウ</t>
    </rPh>
    <rPh sb="17" eb="19">
      <t>ツキベツ</t>
    </rPh>
    <phoneticPr fontId="2"/>
  </si>
  <si>
    <t xml:space="preserve">          (単位 : 人)</t>
    <rPh sb="11" eb="13">
      <t>タンイ</t>
    </rPh>
    <rPh sb="16" eb="17">
      <t>ニン</t>
    </rPh>
    <phoneticPr fontId="2"/>
  </si>
  <si>
    <t>　 　            月別
                                    市町村別</t>
    <rPh sb="15" eb="17">
      <t>ツキベツ</t>
    </rPh>
    <rPh sb="54" eb="57">
      <t>シチョウソン</t>
    </rPh>
    <phoneticPr fontId="2"/>
  </si>
  <si>
    <t>月  別</t>
    <rPh sb="0" eb="4">
      <t>ツキベツ</t>
    </rPh>
    <phoneticPr fontId="2"/>
  </si>
  <si>
    <t>市町村名</t>
    <rPh sb="0" eb="4">
      <t>シチョウソンメイ</t>
    </rPh>
    <phoneticPr fontId="2"/>
  </si>
  <si>
    <t>１月</t>
    <phoneticPr fontId="2"/>
  </si>
  <si>
    <t>２月</t>
    <phoneticPr fontId="2"/>
  </si>
  <si>
    <t>３月</t>
    <phoneticPr fontId="2"/>
  </si>
  <si>
    <t>４月</t>
    <phoneticPr fontId="2"/>
  </si>
  <si>
    <t>５月</t>
    <phoneticPr fontId="2"/>
  </si>
  <si>
    <t>６月</t>
    <phoneticPr fontId="2"/>
  </si>
  <si>
    <t>７月</t>
    <phoneticPr fontId="2"/>
  </si>
  <si>
    <t>８月</t>
    <phoneticPr fontId="2"/>
  </si>
  <si>
    <t>９月</t>
    <phoneticPr fontId="2"/>
  </si>
  <si>
    <t>10月</t>
    <phoneticPr fontId="2"/>
  </si>
  <si>
    <t>11月</t>
    <phoneticPr fontId="2"/>
  </si>
  <si>
    <t>12月</t>
    <phoneticPr fontId="2"/>
  </si>
  <si>
    <t>村 上 市</t>
    <phoneticPr fontId="2"/>
  </si>
  <si>
    <t>村上市</t>
    <phoneticPr fontId="2"/>
  </si>
  <si>
    <t>胎 内 市</t>
    <rPh sb="0" eb="1">
      <t>ハラ</t>
    </rPh>
    <rPh sb="2" eb="3">
      <t>ウチ</t>
    </rPh>
    <rPh sb="4" eb="5">
      <t>シ</t>
    </rPh>
    <phoneticPr fontId="2"/>
  </si>
  <si>
    <t>胎内市</t>
    <rPh sb="0" eb="2">
      <t>タイナイ</t>
    </rPh>
    <rPh sb="2" eb="3">
      <t>シ</t>
    </rPh>
    <phoneticPr fontId="2"/>
  </si>
  <si>
    <t>関 川 村</t>
    <phoneticPr fontId="2"/>
  </si>
  <si>
    <t>関川村</t>
  </si>
  <si>
    <t>粟 島 浦 村（※）</t>
    <phoneticPr fontId="2"/>
  </si>
  <si>
    <t>粟島浦村</t>
  </si>
  <si>
    <t>新 潟 市</t>
    <phoneticPr fontId="2"/>
  </si>
  <si>
    <t>新潟市</t>
  </si>
  <si>
    <t>新 発 田 市</t>
    <phoneticPr fontId="2"/>
  </si>
  <si>
    <t>新発田市</t>
  </si>
  <si>
    <t>燕 市</t>
    <phoneticPr fontId="2"/>
  </si>
  <si>
    <t>燕市</t>
  </si>
  <si>
    <t>阿 賀 野 市</t>
    <rPh sb="0" eb="1">
      <t>クマ</t>
    </rPh>
    <rPh sb="2" eb="3">
      <t>ガ</t>
    </rPh>
    <rPh sb="4" eb="5">
      <t>ノ</t>
    </rPh>
    <rPh sb="6" eb="7">
      <t>シ</t>
    </rPh>
    <phoneticPr fontId="2"/>
  </si>
  <si>
    <t>阿賀野市</t>
    <rPh sb="0" eb="4">
      <t>アガノシ</t>
    </rPh>
    <phoneticPr fontId="2"/>
  </si>
  <si>
    <t>聖 籠 町</t>
    <phoneticPr fontId="2"/>
  </si>
  <si>
    <t>聖籠町</t>
  </si>
  <si>
    <t>阿 賀 町</t>
    <rPh sb="0" eb="1">
      <t>クマ</t>
    </rPh>
    <rPh sb="2" eb="3">
      <t>ガ</t>
    </rPh>
    <rPh sb="4" eb="5">
      <t>マチ</t>
    </rPh>
    <phoneticPr fontId="2"/>
  </si>
  <si>
    <t>阿賀町</t>
    <rPh sb="0" eb="3">
      <t>アガマチ</t>
    </rPh>
    <phoneticPr fontId="2"/>
  </si>
  <si>
    <t>弥 彦 村</t>
    <rPh sb="0" eb="1">
      <t>ワタル</t>
    </rPh>
    <rPh sb="2" eb="3">
      <t>ヒコ</t>
    </rPh>
    <rPh sb="4" eb="5">
      <t>ムラ</t>
    </rPh>
    <phoneticPr fontId="2"/>
  </si>
  <si>
    <t>弥彦村</t>
    <rPh sb="0" eb="3">
      <t>ヤヒコムラ</t>
    </rPh>
    <phoneticPr fontId="2"/>
  </si>
  <si>
    <t>五 泉 市</t>
    <phoneticPr fontId="2"/>
  </si>
  <si>
    <t>五泉市</t>
  </si>
  <si>
    <t>下越地域　計</t>
    <rPh sb="0" eb="2">
      <t>カエツ</t>
    </rPh>
    <rPh sb="2" eb="4">
      <t>チイキ</t>
    </rPh>
    <rPh sb="5" eb="6">
      <t>ケイ</t>
    </rPh>
    <phoneticPr fontId="2"/>
  </si>
  <si>
    <t>長 岡 市</t>
    <phoneticPr fontId="2"/>
  </si>
  <si>
    <t>長岡市</t>
  </si>
  <si>
    <t>三 条 市</t>
    <phoneticPr fontId="2"/>
  </si>
  <si>
    <t>三条市</t>
  </si>
  <si>
    <t>柏 崎 市</t>
    <phoneticPr fontId="2"/>
  </si>
  <si>
    <t>柏崎市</t>
  </si>
  <si>
    <t>小 千 谷 市</t>
    <phoneticPr fontId="2"/>
  </si>
  <si>
    <t>小千谷市</t>
  </si>
  <si>
    <t>加 茂 市</t>
    <phoneticPr fontId="2"/>
  </si>
  <si>
    <t>加茂市</t>
  </si>
  <si>
    <t>見 附 市</t>
    <phoneticPr fontId="2"/>
  </si>
  <si>
    <t>見附市</t>
  </si>
  <si>
    <t>田 上 町</t>
    <phoneticPr fontId="2"/>
  </si>
  <si>
    <t>田上町</t>
  </si>
  <si>
    <t>出 雲 崎 町</t>
    <phoneticPr fontId="2"/>
  </si>
  <si>
    <t>出雲崎町</t>
  </si>
  <si>
    <t>刈 羽 村</t>
    <phoneticPr fontId="2"/>
  </si>
  <si>
    <t>刈羽村</t>
  </si>
  <si>
    <t>中越地域　計</t>
    <rPh sb="0" eb="2">
      <t>チュウエツ</t>
    </rPh>
    <rPh sb="2" eb="4">
      <t>チイキ</t>
    </rPh>
    <rPh sb="5" eb="6">
      <t>ケイ</t>
    </rPh>
    <phoneticPr fontId="2"/>
  </si>
  <si>
    <t>十 日 町 市</t>
    <phoneticPr fontId="2"/>
  </si>
  <si>
    <t>十日町市</t>
  </si>
  <si>
    <t>魚 沼 市</t>
    <rPh sb="0" eb="1">
      <t>サカナ</t>
    </rPh>
    <rPh sb="2" eb="3">
      <t>ヌマ</t>
    </rPh>
    <rPh sb="4" eb="5">
      <t>シ</t>
    </rPh>
    <phoneticPr fontId="2"/>
  </si>
  <si>
    <t>魚沼市</t>
    <rPh sb="0" eb="3">
      <t>ウオヌマシ</t>
    </rPh>
    <phoneticPr fontId="2"/>
  </si>
  <si>
    <t>湯 沢 町</t>
    <phoneticPr fontId="2"/>
  </si>
  <si>
    <t>湯沢町</t>
  </si>
  <si>
    <t>南 魚 沼 市</t>
    <rPh sb="0" eb="1">
      <t>ミナミ</t>
    </rPh>
    <rPh sb="2" eb="3">
      <t>サカナ</t>
    </rPh>
    <rPh sb="4" eb="5">
      <t>ヌマ</t>
    </rPh>
    <rPh sb="6" eb="7">
      <t>シ</t>
    </rPh>
    <phoneticPr fontId="2"/>
  </si>
  <si>
    <t>南魚沼市</t>
    <rPh sb="0" eb="4">
      <t>ミナミウオヌマシ</t>
    </rPh>
    <phoneticPr fontId="2"/>
  </si>
  <si>
    <t>津 南 町</t>
    <phoneticPr fontId="2"/>
  </si>
  <si>
    <t>津南町</t>
  </si>
  <si>
    <t>魚沼地域　計</t>
    <rPh sb="0" eb="2">
      <t>ウオヌマ</t>
    </rPh>
    <rPh sb="2" eb="4">
      <t>チイキ</t>
    </rPh>
    <rPh sb="5" eb="6">
      <t>ケイ</t>
    </rPh>
    <phoneticPr fontId="2"/>
  </si>
  <si>
    <t>上 越 市</t>
    <phoneticPr fontId="2"/>
  </si>
  <si>
    <t>上越市</t>
  </si>
  <si>
    <t>糸 魚 川 市</t>
    <phoneticPr fontId="2"/>
  </si>
  <si>
    <t>糸魚川市</t>
  </si>
  <si>
    <t>妙 高 市</t>
    <rPh sb="0" eb="1">
      <t>ミョウ</t>
    </rPh>
    <rPh sb="2" eb="3">
      <t>タカ</t>
    </rPh>
    <rPh sb="4" eb="5">
      <t>シ</t>
    </rPh>
    <phoneticPr fontId="2"/>
  </si>
  <si>
    <t>妙高市</t>
    <rPh sb="0" eb="2">
      <t>ミョウコウ</t>
    </rPh>
    <rPh sb="2" eb="3">
      <t>シ</t>
    </rPh>
    <phoneticPr fontId="2"/>
  </si>
  <si>
    <t>上越地域　計</t>
    <rPh sb="0" eb="2">
      <t>ジョウエツ</t>
    </rPh>
    <rPh sb="2" eb="4">
      <t>チイキ</t>
    </rPh>
    <rPh sb="5" eb="6">
      <t>ケイ</t>
    </rPh>
    <phoneticPr fontId="2"/>
  </si>
  <si>
    <t>佐渡市（佐渡地域）</t>
    <rPh sb="0" eb="3">
      <t>サドシ</t>
    </rPh>
    <rPh sb="4" eb="6">
      <t>サド</t>
    </rPh>
    <rPh sb="6" eb="8">
      <t>チイキ</t>
    </rPh>
    <phoneticPr fontId="2"/>
  </si>
  <si>
    <t>佐渡市
（佐渡地域）</t>
    <rPh sb="0" eb="3">
      <t>サドシ</t>
    </rPh>
    <rPh sb="5" eb="7">
      <t>サド</t>
    </rPh>
    <rPh sb="7" eb="9">
      <t>チイキ</t>
    </rPh>
    <phoneticPr fontId="2"/>
  </si>
  <si>
    <t>合　　計</t>
    <rPh sb="0" eb="4">
      <t>ゴウケイ</t>
    </rPh>
    <phoneticPr fontId="2"/>
  </si>
  <si>
    <t>（※）粟島浦村の「R3計」は、基準を満たす集計対象地点がなかったため0人。</t>
    <rPh sb="3" eb="7">
      <t>アワシマウラムラ</t>
    </rPh>
    <rPh sb="11" eb="12">
      <t>ケイ</t>
    </rPh>
    <rPh sb="15" eb="17">
      <t>キジュン</t>
    </rPh>
    <rPh sb="18" eb="19">
      <t>ミ</t>
    </rPh>
    <rPh sb="21" eb="23">
      <t>シュウケイ</t>
    </rPh>
    <rPh sb="23" eb="25">
      <t>タイショウ</t>
    </rPh>
    <rPh sb="25" eb="27">
      <t>チテン</t>
    </rPh>
    <rPh sb="35" eb="36">
      <t>ニン</t>
    </rPh>
    <phoneticPr fontId="2"/>
  </si>
  <si>
    <t>　　　なお、令和２年対象地点等で集計した令和３年の入込数の合計は、15,842人（参考値）。</t>
    <rPh sb="29" eb="31">
      <t>ゴウケイ</t>
    </rPh>
    <rPh sb="39" eb="40">
      <t>ニン</t>
    </rPh>
    <phoneticPr fontId="2"/>
  </si>
  <si>
    <t>第６表　市町村別観光客入込数（分類別）</t>
    <rPh sb="15" eb="17">
      <t>ブンルイ</t>
    </rPh>
    <phoneticPr fontId="2"/>
  </si>
  <si>
    <t>(単位 : 人)</t>
  </si>
  <si>
    <t>市町村名</t>
  </si>
  <si>
    <t>自然</t>
  </si>
  <si>
    <t>歴史・文化</t>
  </si>
  <si>
    <t>温泉・健康</t>
  </si>
  <si>
    <t>都市型観光</t>
  </si>
  <si>
    <t>その他</t>
  </si>
  <si>
    <t>行祭事・イベント</t>
    <phoneticPr fontId="2"/>
  </si>
  <si>
    <t>合計</t>
  </si>
  <si>
    <t>村上市</t>
  </si>
  <si>
    <t>胎内市</t>
  </si>
  <si>
    <t>粟島浦村</t>
    <phoneticPr fontId="2"/>
  </si>
  <si>
    <t>阿賀野市</t>
  </si>
  <si>
    <t>阿賀町</t>
  </si>
  <si>
    <t>弥彦村</t>
  </si>
  <si>
    <t>下越地域  計</t>
  </si>
  <si>
    <t>中越地域  計</t>
  </si>
  <si>
    <t>魚沼市</t>
  </si>
  <si>
    <t>南魚沼市</t>
  </si>
  <si>
    <t>魚沼地域　計</t>
  </si>
  <si>
    <t>妙高市</t>
  </si>
  <si>
    <t>上越地域  計</t>
  </si>
  <si>
    <t>合      計</t>
  </si>
  <si>
    <t>第７表　市町村別主要観光地点入込数</t>
    <rPh sb="0" eb="1">
      <t>ダイ</t>
    </rPh>
    <rPh sb="2" eb="3">
      <t>ヒョウ</t>
    </rPh>
    <rPh sb="4" eb="7">
      <t>シチョウソン</t>
    </rPh>
    <rPh sb="7" eb="8">
      <t>ベツ</t>
    </rPh>
    <rPh sb="8" eb="10">
      <t>シュヨウ</t>
    </rPh>
    <rPh sb="10" eb="13">
      <t>カンコウチ</t>
    </rPh>
    <rPh sb="13" eb="14">
      <t>テン</t>
    </rPh>
    <rPh sb="14" eb="16">
      <t>イリコ</t>
    </rPh>
    <rPh sb="16" eb="17">
      <t>スウ</t>
    </rPh>
    <phoneticPr fontId="2"/>
  </si>
  <si>
    <t>（注）年間観光入込客数が５万人以上の観光地点のうち、公表可能なものを掲載。</t>
    <rPh sb="1" eb="2">
      <t>チュウ</t>
    </rPh>
    <rPh sb="3" eb="5">
      <t>ネンカン</t>
    </rPh>
    <rPh sb="5" eb="7">
      <t>カンコウ</t>
    </rPh>
    <rPh sb="7" eb="8">
      <t>イ</t>
    </rPh>
    <rPh sb="8" eb="9">
      <t>コ</t>
    </rPh>
    <rPh sb="9" eb="10">
      <t>キャク</t>
    </rPh>
    <rPh sb="10" eb="11">
      <t>スウ</t>
    </rPh>
    <rPh sb="13" eb="15">
      <t>マンニン</t>
    </rPh>
    <rPh sb="15" eb="17">
      <t>イジョウ</t>
    </rPh>
    <rPh sb="18" eb="20">
      <t>カンコウ</t>
    </rPh>
    <rPh sb="20" eb="22">
      <t>チテン</t>
    </rPh>
    <rPh sb="26" eb="28">
      <t>コウヒョウ</t>
    </rPh>
    <rPh sb="28" eb="30">
      <t>カノウ</t>
    </rPh>
    <rPh sb="34" eb="36">
      <t>ケイサイ</t>
    </rPh>
    <phoneticPr fontId="2"/>
  </si>
  <si>
    <t>（単位　：　人）</t>
    <rPh sb="1" eb="3">
      <t>タンイ</t>
    </rPh>
    <rPh sb="6" eb="7">
      <t>ニン</t>
    </rPh>
    <phoneticPr fontId="2"/>
  </si>
  <si>
    <t>市町村</t>
    <rPh sb="0" eb="3">
      <t>シチョウソン</t>
    </rPh>
    <phoneticPr fontId="20"/>
  </si>
  <si>
    <t>観光地点等</t>
    <rPh sb="0" eb="2">
      <t>カンコウ</t>
    </rPh>
    <rPh sb="2" eb="4">
      <t>チテン</t>
    </rPh>
    <rPh sb="4" eb="5">
      <t>トウ</t>
    </rPh>
    <phoneticPr fontId="2"/>
  </si>
  <si>
    <t>大分類</t>
    <rPh sb="0" eb="3">
      <t>ダイブンルイ</t>
    </rPh>
    <phoneticPr fontId="2"/>
  </si>
  <si>
    <t>中分類</t>
    <rPh sb="0" eb="3">
      <t>チュウブンルイ</t>
    </rPh>
    <phoneticPr fontId="2"/>
  </si>
  <si>
    <t>分類</t>
    <rPh sb="0" eb="2">
      <t>ブンルイ</t>
    </rPh>
    <phoneticPr fontId="2"/>
  </si>
  <si>
    <t>R4</t>
    <phoneticPr fontId="2"/>
  </si>
  <si>
    <t>R3</t>
    <phoneticPr fontId="2"/>
  </si>
  <si>
    <t>対前年比</t>
    <phoneticPr fontId="2"/>
  </si>
  <si>
    <t>瀬波温泉</t>
  </si>
  <si>
    <t>温泉・健康</t>
    <rPh sb="0" eb="2">
      <t>オンセン</t>
    </rPh>
    <rPh sb="3" eb="5">
      <t>ケンコウ</t>
    </rPh>
    <phoneticPr fontId="20"/>
  </si>
  <si>
    <t>穂波の里</t>
    <rPh sb="0" eb="2">
      <t>ホナミ</t>
    </rPh>
    <rPh sb="3" eb="4">
      <t>サト</t>
    </rPh>
    <phoneticPr fontId="1"/>
  </si>
  <si>
    <t>都市型観光</t>
    <rPh sb="0" eb="3">
      <t>トシガタ</t>
    </rPh>
    <rPh sb="3" eb="5">
      <t>カンコウ</t>
    </rPh>
    <phoneticPr fontId="20"/>
  </si>
  <si>
    <t>朝日みどりの里</t>
    <rPh sb="0" eb="2">
      <t>アサヒ</t>
    </rPh>
    <phoneticPr fontId="1"/>
  </si>
  <si>
    <t>笹川流れ夕日会館</t>
  </si>
  <si>
    <t>はまなすの丘展望台</t>
  </si>
  <si>
    <t>自然</t>
    <rPh sb="0" eb="2">
      <t>シゼン</t>
    </rPh>
    <phoneticPr fontId="20"/>
  </si>
  <si>
    <t>樽ヶ橋遊園・カントリーパーク</t>
  </si>
  <si>
    <t>スポーツ・レクリエーション</t>
    <phoneticPr fontId="20"/>
  </si>
  <si>
    <t>観光交流センター（道の駅胎内）</t>
    <rPh sb="0" eb="2">
      <t>カンコウ</t>
    </rPh>
    <rPh sb="2" eb="4">
      <t>コウリュウ</t>
    </rPh>
    <rPh sb="9" eb="10">
      <t>ミチ</t>
    </rPh>
    <rPh sb="11" eb="12">
      <t>エキ</t>
    </rPh>
    <rPh sb="12" eb="14">
      <t>タイナイ</t>
    </rPh>
    <phoneticPr fontId="2"/>
  </si>
  <si>
    <t>その他</t>
    <rPh sb="2" eb="3">
      <t>タ</t>
    </rPh>
    <phoneticPr fontId="20"/>
  </si>
  <si>
    <t>胎内スキー場</t>
  </si>
  <si>
    <t>ロイヤル胎内パークホテル（日帰り）</t>
    <rPh sb="13" eb="15">
      <t>ヒガエ</t>
    </rPh>
    <phoneticPr fontId="1"/>
  </si>
  <si>
    <t>えちごせきかわ温泉郷（桂の関温泉ゆ～む）</t>
    <rPh sb="7" eb="9">
      <t>オンセン</t>
    </rPh>
    <rPh sb="9" eb="10">
      <t>ゴウ</t>
    </rPh>
    <rPh sb="11" eb="12">
      <t>カツラ</t>
    </rPh>
    <rPh sb="13" eb="14">
      <t>セキ</t>
    </rPh>
    <rPh sb="14" eb="16">
      <t>オンセン</t>
    </rPh>
    <phoneticPr fontId="20"/>
  </si>
  <si>
    <t>地域文化交流施設「ちぐら」</t>
    <rPh sb="0" eb="2">
      <t>チイキ</t>
    </rPh>
    <rPh sb="2" eb="4">
      <t>ブンカ</t>
    </rPh>
    <rPh sb="4" eb="6">
      <t>コウリュウ</t>
    </rPh>
    <rPh sb="6" eb="8">
      <t>シセツ</t>
    </rPh>
    <phoneticPr fontId="20"/>
  </si>
  <si>
    <t>多宝温泉</t>
    <rPh sb="2" eb="4">
      <t>オンセン</t>
    </rPh>
    <phoneticPr fontId="48"/>
  </si>
  <si>
    <t>岩室温泉</t>
  </si>
  <si>
    <t>じょんのび館</t>
  </si>
  <si>
    <t>秋葉温泉　「花水」</t>
    <rPh sb="0" eb="1">
      <t>アキ</t>
    </rPh>
    <rPh sb="1" eb="2">
      <t>ハ</t>
    </rPh>
    <rPh sb="2" eb="4">
      <t>オンセン</t>
    </rPh>
    <rPh sb="6" eb="7">
      <t>ハナ</t>
    </rPh>
    <rPh sb="7" eb="8">
      <t>ミズ</t>
    </rPh>
    <phoneticPr fontId="20"/>
  </si>
  <si>
    <t>小須戸温泉健康センター</t>
    <rPh sb="3" eb="5">
      <t>オンセン</t>
    </rPh>
    <rPh sb="5" eb="7">
      <t>ケンコウ</t>
    </rPh>
    <phoneticPr fontId="48"/>
  </si>
  <si>
    <t>水の公園福島潟</t>
  </si>
  <si>
    <t>白山神社(初詣を除く）</t>
    <rPh sb="5" eb="7">
      <t>ハツモウデ</t>
    </rPh>
    <rPh sb="8" eb="9">
      <t>ノゾ</t>
    </rPh>
    <phoneticPr fontId="16"/>
  </si>
  <si>
    <t>歴史・文化</t>
    <rPh sb="0" eb="2">
      <t>レキシ</t>
    </rPh>
    <rPh sb="3" eb="5">
      <t>ブンカ</t>
    </rPh>
    <phoneticPr fontId="20"/>
  </si>
  <si>
    <t>白山神社（初詣）</t>
    <rPh sb="5" eb="7">
      <t>ハツモウデ</t>
    </rPh>
    <phoneticPr fontId="16"/>
  </si>
  <si>
    <t>行祭事・イベント</t>
    <rPh sb="0" eb="1">
      <t>ギョウ</t>
    </rPh>
    <rPh sb="1" eb="3">
      <t>サイジ</t>
    </rPh>
    <phoneticPr fontId="20"/>
  </si>
  <si>
    <t>護国神社（初詣を除く）</t>
    <rPh sb="8" eb="9">
      <t>ノゾ</t>
    </rPh>
    <phoneticPr fontId="16"/>
  </si>
  <si>
    <t>護国神社（初詣）</t>
  </si>
  <si>
    <t>天寿園</t>
  </si>
  <si>
    <t>新潟市水族館（マリンピア日本海）</t>
    <rPh sb="0" eb="3">
      <t>ニイガタシ</t>
    </rPh>
    <rPh sb="3" eb="6">
      <t>スイゾクカン</t>
    </rPh>
    <phoneticPr fontId="16"/>
  </si>
  <si>
    <t>県立自然科学館</t>
  </si>
  <si>
    <t>新潟市歴史博物館（みなとぴあ）</t>
    <rPh sb="0" eb="3">
      <t>ニイガタシ</t>
    </rPh>
    <rPh sb="3" eb="5">
      <t>レキシ</t>
    </rPh>
    <rPh sb="5" eb="8">
      <t>ハクブツカン</t>
    </rPh>
    <phoneticPr fontId="16"/>
  </si>
  <si>
    <t>新潟県立万代島美術館</t>
    <rPh sb="0" eb="4">
      <t>ニイガタケンリツ</t>
    </rPh>
    <rPh sb="4" eb="7">
      <t>バンダイジマ</t>
    </rPh>
    <rPh sb="7" eb="10">
      <t>ビジュツカン</t>
    </rPh>
    <phoneticPr fontId="16"/>
  </si>
  <si>
    <t>新潟市美術館</t>
  </si>
  <si>
    <t>県立植物園</t>
  </si>
  <si>
    <t>新津美術館</t>
  </si>
  <si>
    <t>新潟ふるさと村</t>
  </si>
  <si>
    <t>花夢里にいつ</t>
    <rPh sb="1" eb="2">
      <t>ユメ</t>
    </rPh>
    <rPh sb="2" eb="3">
      <t>サト</t>
    </rPh>
    <phoneticPr fontId="48"/>
  </si>
  <si>
    <t>新潟市産業振興センター</t>
    <rPh sb="0" eb="3">
      <t>ニイガタシ</t>
    </rPh>
    <rPh sb="3" eb="5">
      <t>サンギョウ</t>
    </rPh>
    <rPh sb="5" eb="7">
      <t>シンコウ</t>
    </rPh>
    <phoneticPr fontId="16"/>
  </si>
  <si>
    <t>新津フラワーランド</t>
  </si>
  <si>
    <t>花とみどりのシンボルゾーン</t>
  </si>
  <si>
    <t>コンベンション（朱鷺メッセ開催）</t>
    <rPh sb="8" eb="10">
      <t>トキ</t>
    </rPh>
    <rPh sb="13" eb="15">
      <t>カイサイ</t>
    </rPh>
    <phoneticPr fontId="16"/>
  </si>
  <si>
    <t>にいがた総おどり</t>
    <rPh sb="4" eb="5">
      <t>ソウ</t>
    </rPh>
    <phoneticPr fontId="16"/>
  </si>
  <si>
    <t>オンライン開催</t>
    <rPh sb="5" eb="7">
      <t>カイサイ</t>
    </rPh>
    <phoneticPr fontId="20"/>
  </si>
  <si>
    <t>－</t>
  </si>
  <si>
    <t>とやの湖桜まつり</t>
  </si>
  <si>
    <t>古町どんどん</t>
    <rPh sb="0" eb="1">
      <t>フル</t>
    </rPh>
    <rPh sb="1" eb="2">
      <t>マチ</t>
    </rPh>
    <phoneticPr fontId="16"/>
  </si>
  <si>
    <t>関屋浜海水浴場</t>
    <rPh sb="3" eb="6">
      <t>カイスイヨク</t>
    </rPh>
    <rPh sb="6" eb="7">
      <t>ジョウ</t>
    </rPh>
    <phoneticPr fontId="21"/>
  </si>
  <si>
    <t>角田山</t>
  </si>
  <si>
    <t>Befcoばかうけ展望室</t>
    <rPh sb="9" eb="12">
      <t>テンボウシツ</t>
    </rPh>
    <phoneticPr fontId="48"/>
  </si>
  <si>
    <t>デンカビッグスワンスタジアム（スポーツ観戦）</t>
  </si>
  <si>
    <t>ハードオフエコスタジアム（スポーツ観戦）</t>
    <rPh sb="17" eb="19">
      <t>カンセン</t>
    </rPh>
    <phoneticPr fontId="16"/>
  </si>
  <si>
    <t>鳥屋野総合体育館（専用利用）</t>
    <rPh sb="0" eb="3">
      <t>トヤノ</t>
    </rPh>
    <rPh sb="3" eb="5">
      <t>ソウゴウ</t>
    </rPh>
    <rPh sb="5" eb="8">
      <t>タイイクカン</t>
    </rPh>
    <rPh sb="9" eb="11">
      <t>センヨウ</t>
    </rPh>
    <rPh sb="11" eb="13">
      <t>リヨウ</t>
    </rPh>
    <phoneticPr fontId="16"/>
  </si>
  <si>
    <t>西総合スポーツセンター（専用利用）</t>
    <rPh sb="0" eb="1">
      <t>ニシ</t>
    </rPh>
    <rPh sb="1" eb="3">
      <t>ソウゴウ</t>
    </rPh>
    <phoneticPr fontId="16"/>
  </si>
  <si>
    <t>東総合スポーツセンター（専用利用）</t>
    <rPh sb="0" eb="1">
      <t>ヒガシ</t>
    </rPh>
    <rPh sb="1" eb="3">
      <t>ソウゴウ</t>
    </rPh>
    <phoneticPr fontId="16"/>
  </si>
  <si>
    <t>新潟市陸上競技場</t>
    <rPh sb="3" eb="5">
      <t>リクジョウ</t>
    </rPh>
    <rPh sb="5" eb="8">
      <t>キョウギジョウ</t>
    </rPh>
    <phoneticPr fontId="16"/>
  </si>
  <si>
    <t>亀田総合体育館（専用利用）</t>
    <rPh sb="0" eb="2">
      <t>カメダ</t>
    </rPh>
    <rPh sb="2" eb="4">
      <t>ソウゴウ</t>
    </rPh>
    <rPh sb="4" eb="7">
      <t>タイイクカン</t>
    </rPh>
    <phoneticPr fontId="16"/>
  </si>
  <si>
    <t>岩室観光施設いわむろや</t>
    <rPh sb="0" eb="2">
      <t>イワムロ</t>
    </rPh>
    <rPh sb="2" eb="4">
      <t>カンコウ</t>
    </rPh>
    <rPh sb="4" eb="6">
      <t>シセツ</t>
    </rPh>
    <phoneticPr fontId="49"/>
  </si>
  <si>
    <t>ピアＢandai</t>
  </si>
  <si>
    <t>動物ふれあいセンター</t>
  </si>
  <si>
    <t>食育・花育センター</t>
  </si>
  <si>
    <t>ＪＡ越後中央　越王の里</t>
  </si>
  <si>
    <t>新潟市マンガ・アニメ情報館</t>
  </si>
  <si>
    <t>アイスアリーナ</t>
  </si>
  <si>
    <t>こども創造センター</t>
    <rPh sb="3" eb="5">
      <t>ソウゾウ</t>
    </rPh>
    <phoneticPr fontId="2"/>
  </si>
  <si>
    <t>食と花の交流センター</t>
  </si>
  <si>
    <t>アグリパーク</t>
  </si>
  <si>
    <t>万代島多目的広場（イベント）</t>
  </si>
  <si>
    <t>月岡温泉</t>
    <rPh sb="0" eb="2">
      <t>ツキオカ</t>
    </rPh>
    <rPh sb="2" eb="4">
      <t>オンセン</t>
    </rPh>
    <phoneticPr fontId="20"/>
  </si>
  <si>
    <t>紫雲の郷</t>
    <rPh sb="0" eb="2">
      <t>シウン</t>
    </rPh>
    <rPh sb="3" eb="4">
      <t>サト</t>
    </rPh>
    <phoneticPr fontId="20"/>
  </si>
  <si>
    <t>五十公野公園</t>
    <rPh sb="0" eb="2">
      <t>ゴジュウ</t>
    </rPh>
    <rPh sb="2" eb="3">
      <t>コウ</t>
    </rPh>
    <rPh sb="3" eb="4">
      <t>ノ</t>
    </rPh>
    <rPh sb="4" eb="6">
      <t>コウエン</t>
    </rPh>
    <phoneticPr fontId="20"/>
  </si>
  <si>
    <t>道の駅加治川</t>
    <rPh sb="0" eb="1">
      <t>ミチ</t>
    </rPh>
    <rPh sb="2" eb="3">
      <t>エキ</t>
    </rPh>
    <rPh sb="3" eb="6">
      <t>カジカワ</t>
    </rPh>
    <phoneticPr fontId="20"/>
  </si>
  <si>
    <t>市島酒造（酒蔵見学）</t>
    <rPh sb="0" eb="1">
      <t>イチ</t>
    </rPh>
    <rPh sb="1" eb="2">
      <t>シマ</t>
    </rPh>
    <rPh sb="2" eb="4">
      <t>シュゾウ</t>
    </rPh>
    <rPh sb="5" eb="7">
      <t>サカグラ</t>
    </rPh>
    <rPh sb="7" eb="9">
      <t>ケンガク</t>
    </rPh>
    <phoneticPr fontId="20"/>
  </si>
  <si>
    <t>城下町新発田ふるさとまつり</t>
    <rPh sb="0" eb="3">
      <t>シロシタチョウ</t>
    </rPh>
    <rPh sb="3" eb="6">
      <t>シバタ</t>
    </rPh>
    <phoneticPr fontId="20"/>
  </si>
  <si>
    <t>R3中止</t>
    <rPh sb="2" eb="4">
      <t>チュウシ</t>
    </rPh>
    <phoneticPr fontId="20"/>
  </si>
  <si>
    <t>県立紫雲寺記念公園</t>
  </si>
  <si>
    <t>新発田市カルチャーセンター</t>
    <rPh sb="0" eb="4">
      <t>シバタシ</t>
    </rPh>
    <phoneticPr fontId="20"/>
  </si>
  <si>
    <t>てまりの湯</t>
    <rPh sb="4" eb="5">
      <t>ユ</t>
    </rPh>
    <phoneticPr fontId="49"/>
  </si>
  <si>
    <t>ふれあいパーク久賀美</t>
    <rPh sb="7" eb="10">
      <t>クガミ</t>
    </rPh>
    <phoneticPr fontId="49"/>
  </si>
  <si>
    <t>燕青空即売会</t>
    <rPh sb="0" eb="1">
      <t>ツ</t>
    </rPh>
    <rPh sb="1" eb="3">
      <t>アオゾラ</t>
    </rPh>
    <rPh sb="3" eb="6">
      <t>ソクバイカイ</t>
    </rPh>
    <phoneticPr fontId="49"/>
  </si>
  <si>
    <t>ストックバスターズ 燕店</t>
    <rPh sb="10" eb="11">
      <t>ツバメ</t>
    </rPh>
    <rPh sb="11" eb="12">
      <t>テン</t>
    </rPh>
    <phoneticPr fontId="50"/>
  </si>
  <si>
    <t>五頭連峰</t>
    <rPh sb="0" eb="2">
      <t>ゴトウ</t>
    </rPh>
    <rPh sb="2" eb="4">
      <t>レンポウ</t>
    </rPh>
    <phoneticPr fontId="51"/>
  </si>
  <si>
    <t>瓢湖水きん公園</t>
    <rPh sb="0" eb="2">
      <t>ヒョウコ</t>
    </rPh>
    <rPh sb="2" eb="3">
      <t>スイ</t>
    </rPh>
    <rPh sb="5" eb="7">
      <t>コウエン</t>
    </rPh>
    <phoneticPr fontId="51"/>
  </si>
  <si>
    <t>安田温泉やすらぎ</t>
    <rPh sb="0" eb="4">
      <t>ヤスダオンセン</t>
    </rPh>
    <phoneticPr fontId="2"/>
  </si>
  <si>
    <t>村杉温泉</t>
    <rPh sb="0" eb="2">
      <t>ムラスギ</t>
    </rPh>
    <rPh sb="2" eb="4">
      <t>オンセン</t>
    </rPh>
    <phoneticPr fontId="51"/>
  </si>
  <si>
    <t>サントピアワールド</t>
  </si>
  <si>
    <t>五頭山麓うららの森</t>
    <rPh sb="0" eb="4">
      <t>ゴズサンフモト</t>
    </rPh>
    <rPh sb="8" eb="9">
      <t>モリ</t>
    </rPh>
    <phoneticPr fontId="51"/>
  </si>
  <si>
    <t>ヤスダヨーグルト</t>
  </si>
  <si>
    <t>道の駅あがの</t>
    <phoneticPr fontId="20"/>
  </si>
  <si>
    <t>R4.8開業</t>
    <rPh sb="4" eb="6">
      <t>カイギョウ</t>
    </rPh>
    <phoneticPr fontId="20"/>
  </si>
  <si>
    <t>観光ぶどう園</t>
    <rPh sb="0" eb="2">
      <t>カンコウ</t>
    </rPh>
    <rPh sb="5" eb="6">
      <t>エン</t>
    </rPh>
    <phoneticPr fontId="21"/>
  </si>
  <si>
    <t>弥彦温泉</t>
    <rPh sb="0" eb="2">
      <t>ヤヒコ</t>
    </rPh>
    <rPh sb="2" eb="4">
      <t>オンセン</t>
    </rPh>
    <phoneticPr fontId="52"/>
  </si>
  <si>
    <t>さくらの湯</t>
    <rPh sb="4" eb="5">
      <t>ユ</t>
    </rPh>
    <phoneticPr fontId="52"/>
  </si>
  <si>
    <t>弥彦公園</t>
    <rPh sb="0" eb="2">
      <t>ヤヒコ</t>
    </rPh>
    <rPh sb="2" eb="4">
      <t>コウエン</t>
    </rPh>
    <phoneticPr fontId="52"/>
  </si>
  <si>
    <t>弥彦山ロープウェイ</t>
    <rPh sb="0" eb="3">
      <t>ヤヒコヤマ</t>
    </rPh>
    <phoneticPr fontId="52"/>
  </si>
  <si>
    <t>弥彦山登山</t>
    <rPh sb="0" eb="3">
      <t>ヤヒコヤマ</t>
    </rPh>
    <rPh sb="3" eb="5">
      <t>トザン</t>
    </rPh>
    <phoneticPr fontId="52"/>
  </si>
  <si>
    <t>彌彦神社</t>
    <rPh sb="0" eb="4">
      <t>ヤヒコジンジャ</t>
    </rPh>
    <phoneticPr fontId="52"/>
  </si>
  <si>
    <t>おもてなし広場</t>
    <rPh sb="5" eb="7">
      <t>ヒロバ</t>
    </rPh>
    <phoneticPr fontId="53"/>
  </si>
  <si>
    <t>阿賀野川ライン</t>
  </si>
  <si>
    <t>五泉市</t>
    <rPh sb="0" eb="3">
      <t>ゴセンシ</t>
    </rPh>
    <phoneticPr fontId="2"/>
  </si>
  <si>
    <t>村松さくらんど温泉</t>
    <rPh sb="0" eb="2">
      <t>ムラマツ</t>
    </rPh>
    <rPh sb="7" eb="9">
      <t>オンセン</t>
    </rPh>
    <phoneticPr fontId="1"/>
  </si>
  <si>
    <t>花木まつり</t>
    <rPh sb="0" eb="2">
      <t>カボク</t>
    </rPh>
    <phoneticPr fontId="1"/>
  </si>
  <si>
    <t>ラポルテ五泉</t>
    <rPh sb="4" eb="6">
      <t>ゴセン</t>
    </rPh>
    <phoneticPr fontId="20"/>
  </si>
  <si>
    <t>R4から対象</t>
    <rPh sb="4" eb="6">
      <t>タイショウ</t>
    </rPh>
    <phoneticPr fontId="20"/>
  </si>
  <si>
    <t>長岡市</t>
    <rPh sb="0" eb="3">
      <t>ナガオカシ</t>
    </rPh>
    <phoneticPr fontId="2"/>
  </si>
  <si>
    <t>国営越後丘陵公園　　</t>
  </si>
  <si>
    <t>県立近代美術館　　</t>
  </si>
  <si>
    <t>長岡まつり(平和祭・昼行事）</t>
    <rPh sb="6" eb="8">
      <t>ヘイワ</t>
    </rPh>
    <rPh sb="8" eb="9">
      <t>マツリ</t>
    </rPh>
    <phoneticPr fontId="48"/>
  </si>
  <si>
    <t>長岡まつり大花火大会</t>
    <phoneticPr fontId="20"/>
  </si>
  <si>
    <t>もみじ園（越路もみじまつり含む）</t>
    <rPh sb="5" eb="7">
      <t>コシジ</t>
    </rPh>
    <rPh sb="13" eb="14">
      <t>フク</t>
    </rPh>
    <phoneticPr fontId="48"/>
  </si>
  <si>
    <t>道の駅良寛の里わしま
地域交流ｾﾝﾀｰ（もてなし家）</t>
  </si>
  <si>
    <t>水族博物館</t>
  </si>
  <si>
    <t>寺泊魚の市場通り</t>
  </si>
  <si>
    <t>きんぱちの湯（日帰り入浴）</t>
  </si>
  <si>
    <t>道の駅R290とちお</t>
  </si>
  <si>
    <t>えちご川口温泉</t>
  </si>
  <si>
    <t>あぐりの里</t>
  </si>
  <si>
    <t>道の駅ながおか花火館</t>
    <rPh sb="0" eb="1">
      <t>ミチ</t>
    </rPh>
    <rPh sb="2" eb="3">
      <t>エキ</t>
    </rPh>
    <rPh sb="7" eb="9">
      <t>ハナビ</t>
    </rPh>
    <rPh sb="9" eb="10">
      <t>カン</t>
    </rPh>
    <phoneticPr fontId="23"/>
  </si>
  <si>
    <t>三条市</t>
    <rPh sb="0" eb="3">
      <t>サンジョウシ</t>
    </rPh>
    <phoneticPr fontId="2"/>
  </si>
  <si>
    <t>八木ヶ鼻温泉いい湯らてい</t>
  </si>
  <si>
    <t>道の駅「燕三条地場産センター」</t>
    <rPh sb="0" eb="1">
      <t>ミチ</t>
    </rPh>
    <rPh sb="2" eb="3">
      <t>エキ</t>
    </rPh>
    <rPh sb="4" eb="7">
      <t>ツバメサンジョウ</t>
    </rPh>
    <phoneticPr fontId="52"/>
  </si>
  <si>
    <t>道の駅「漢学の里しただ」</t>
    <rPh sb="0" eb="1">
      <t>ミチ</t>
    </rPh>
    <rPh sb="2" eb="3">
      <t>エキ</t>
    </rPh>
    <rPh sb="4" eb="6">
      <t>カンガク</t>
    </rPh>
    <rPh sb="7" eb="8">
      <t>サト</t>
    </rPh>
    <phoneticPr fontId="49"/>
  </si>
  <si>
    <t>三条夏まつり</t>
    <phoneticPr fontId="20"/>
  </si>
  <si>
    <t>三条祭り</t>
    <rPh sb="2" eb="3">
      <t>マツ</t>
    </rPh>
    <phoneticPr fontId="52"/>
  </si>
  <si>
    <t>三条マルシェごった市＠ホコテン　マルシェ</t>
    <rPh sb="0" eb="2">
      <t>サンジョウ</t>
    </rPh>
    <rPh sb="9" eb="10">
      <t>イチ</t>
    </rPh>
    <phoneticPr fontId="50"/>
  </si>
  <si>
    <t>三条防災ステーション</t>
  </si>
  <si>
    <t>道の駅「庭園の郷 保内」</t>
    <rPh sb="0" eb="1">
      <t>ミチ</t>
    </rPh>
    <rPh sb="2" eb="3">
      <t>エキ</t>
    </rPh>
    <rPh sb="4" eb="6">
      <t>テイエン</t>
    </rPh>
    <rPh sb="7" eb="8">
      <t>サト</t>
    </rPh>
    <rPh sb="9" eb="11">
      <t>ホナイ</t>
    </rPh>
    <phoneticPr fontId="54"/>
  </si>
  <si>
    <t>SnowPeak　FIELD SUITE SPA</t>
    <phoneticPr fontId="20"/>
  </si>
  <si>
    <t>R4.4開業</t>
    <rPh sb="4" eb="6">
      <t>カイギョウ</t>
    </rPh>
    <phoneticPr fontId="20"/>
  </si>
  <si>
    <t>柏崎市</t>
    <rPh sb="0" eb="3">
      <t>カシワザキシ</t>
    </rPh>
    <phoneticPr fontId="2"/>
  </si>
  <si>
    <t>米山福浦八景</t>
  </si>
  <si>
    <t>こども自然王国</t>
  </si>
  <si>
    <t>柏崎・夢の森公園</t>
  </si>
  <si>
    <t>日本海フィッシャーマンズケープ</t>
  </si>
  <si>
    <t>ぎおん柏崎まつり　海の大花火大会</t>
    <phoneticPr fontId="20"/>
  </si>
  <si>
    <t>えんま市</t>
  </si>
  <si>
    <t>東の輪海水浴場</t>
  </si>
  <si>
    <t>石地海水浴場</t>
  </si>
  <si>
    <t>柏崎アクアパーク</t>
  </si>
  <si>
    <t>柏崎港観光交流センター
　「夕海」</t>
  </si>
  <si>
    <t>柏崎市文化会館　「アルフォーレ」</t>
    <rPh sb="0" eb="2">
      <t>カシワザキ</t>
    </rPh>
    <rPh sb="2" eb="3">
      <t>シ</t>
    </rPh>
    <rPh sb="3" eb="5">
      <t>ブンカ</t>
    </rPh>
    <rPh sb="5" eb="7">
      <t>カイカン</t>
    </rPh>
    <phoneticPr fontId="21"/>
  </si>
  <si>
    <t>小千谷市</t>
    <rPh sb="0" eb="4">
      <t>オヂヤシ</t>
    </rPh>
    <phoneticPr fontId="2"/>
  </si>
  <si>
    <t>総合産業会館サンプラザ</t>
  </si>
  <si>
    <t>おぢやまつり</t>
    <phoneticPr fontId="20"/>
  </si>
  <si>
    <t>片貝まつり</t>
    <phoneticPr fontId="20"/>
  </si>
  <si>
    <t>加茂市</t>
    <rPh sb="0" eb="3">
      <t>カモシ</t>
    </rPh>
    <phoneticPr fontId="2"/>
  </si>
  <si>
    <t>加茂七谷温泉美人の湯</t>
    <rPh sb="0" eb="2">
      <t>カモ</t>
    </rPh>
    <rPh sb="2" eb="4">
      <t>ナナタニ</t>
    </rPh>
    <rPh sb="4" eb="6">
      <t>オンセン</t>
    </rPh>
    <rPh sb="6" eb="8">
      <t>ビジン</t>
    </rPh>
    <rPh sb="9" eb="10">
      <t>ユ</t>
    </rPh>
    <phoneticPr fontId="2"/>
  </si>
  <si>
    <t>加茂山公園</t>
    <rPh sb="0" eb="2">
      <t>カモ</t>
    </rPh>
    <rPh sb="2" eb="3">
      <t>ヤマ</t>
    </rPh>
    <rPh sb="3" eb="5">
      <t>コウエン</t>
    </rPh>
    <phoneticPr fontId="2"/>
  </si>
  <si>
    <t>見附市</t>
    <rPh sb="0" eb="3">
      <t>ミツケシ</t>
    </rPh>
    <phoneticPr fontId="2"/>
  </si>
  <si>
    <t>みつけイングリッシュガーデン</t>
  </si>
  <si>
    <t>道の駅パティオにいがた</t>
    <rPh sb="0" eb="1">
      <t>ミチ</t>
    </rPh>
    <rPh sb="2" eb="3">
      <t>エキ</t>
    </rPh>
    <phoneticPr fontId="2"/>
  </si>
  <si>
    <t>みつけ健幸の湯　ほっとぴあ</t>
    <rPh sb="3" eb="4">
      <t>ケン</t>
    </rPh>
    <rPh sb="4" eb="5">
      <t>コウ</t>
    </rPh>
    <rPh sb="6" eb="7">
      <t>ユ</t>
    </rPh>
    <phoneticPr fontId="16"/>
  </si>
  <si>
    <t>田上町</t>
    <rPh sb="0" eb="3">
      <t>タガミマチ</t>
    </rPh>
    <phoneticPr fontId="2"/>
  </si>
  <si>
    <t>湯田上温泉</t>
    <rPh sb="0" eb="1">
      <t>ユ</t>
    </rPh>
    <rPh sb="1" eb="3">
      <t>タガミ</t>
    </rPh>
    <rPh sb="3" eb="5">
      <t>オンセン</t>
    </rPh>
    <phoneticPr fontId="21"/>
  </si>
  <si>
    <t>ごまどう湯っ多里館</t>
    <rPh sb="4" eb="5">
      <t>ユ</t>
    </rPh>
    <rPh sb="6" eb="7">
      <t>タ</t>
    </rPh>
    <rPh sb="7" eb="8">
      <t>リ</t>
    </rPh>
    <rPh sb="8" eb="9">
      <t>カン</t>
    </rPh>
    <phoneticPr fontId="21"/>
  </si>
  <si>
    <t>護摩堂山</t>
    <rPh sb="0" eb="2">
      <t>ゴマ</t>
    </rPh>
    <rPh sb="2" eb="3">
      <t>ドウ</t>
    </rPh>
    <rPh sb="3" eb="4">
      <t>ヤマ</t>
    </rPh>
    <phoneticPr fontId="21"/>
  </si>
  <si>
    <t>道の駅たがみ</t>
    <rPh sb="0" eb="1">
      <t>ミチ</t>
    </rPh>
    <rPh sb="2" eb="3">
      <t>エキ</t>
    </rPh>
    <phoneticPr fontId="21"/>
  </si>
  <si>
    <t>出雲崎町</t>
    <rPh sb="0" eb="4">
      <t>イズモザキマチ</t>
    </rPh>
    <phoneticPr fontId="2"/>
  </si>
  <si>
    <t>天領の里（物産館）</t>
    <rPh sb="0" eb="2">
      <t>テンリョウ</t>
    </rPh>
    <rPh sb="3" eb="4">
      <t>サト</t>
    </rPh>
    <rPh sb="5" eb="8">
      <t>ブッサンカン</t>
    </rPh>
    <phoneticPr fontId="48"/>
  </si>
  <si>
    <t>刈羽村</t>
    <rPh sb="0" eb="2">
      <t>カリワ</t>
    </rPh>
    <rPh sb="2" eb="3">
      <t>ムラ</t>
    </rPh>
    <phoneticPr fontId="2"/>
  </si>
  <si>
    <t>ぴあパークとうりんぼ</t>
  </si>
  <si>
    <t>十日町市</t>
    <rPh sb="0" eb="4">
      <t>トオカマチシ</t>
    </rPh>
    <phoneticPr fontId="2"/>
  </si>
  <si>
    <t>クロス１０</t>
  </si>
  <si>
    <t>清津峡渓谷歩道トンネル</t>
  </si>
  <si>
    <t>まつだい芝峠温泉雲海</t>
    <rPh sb="8" eb="10">
      <t>ウンカイ</t>
    </rPh>
    <phoneticPr fontId="54"/>
  </si>
  <si>
    <t>まつだい雪国農耕文化村センター（農舞台）</t>
    <rPh sb="4" eb="6">
      <t>ユキグニ</t>
    </rPh>
    <rPh sb="6" eb="8">
      <t>ノウコウ</t>
    </rPh>
    <rPh sb="8" eb="10">
      <t>ブンカ</t>
    </rPh>
    <rPh sb="10" eb="11">
      <t>ムラ</t>
    </rPh>
    <rPh sb="16" eb="17">
      <t>ノウ</t>
    </rPh>
    <rPh sb="17" eb="19">
      <t>ブタイ</t>
    </rPh>
    <phoneticPr fontId="54"/>
  </si>
  <si>
    <t>まつだいふるさと会館</t>
  </si>
  <si>
    <t>美人林</t>
    <rPh sb="0" eb="2">
      <t>ビジン</t>
    </rPh>
    <rPh sb="2" eb="3">
      <t>バヤシ</t>
    </rPh>
    <phoneticPr fontId="50"/>
  </si>
  <si>
    <t>大地の芸術祭　越後妻有２０２２</t>
    <rPh sb="7" eb="11">
      <t>エチゴツマアリ</t>
    </rPh>
    <phoneticPr fontId="55"/>
  </si>
  <si>
    <t>R3延期</t>
    <rPh sb="2" eb="4">
      <t>エンキ</t>
    </rPh>
    <phoneticPr fontId="20"/>
  </si>
  <si>
    <t>越後妻有里山現代美術館[MonET]</t>
    <rPh sb="0" eb="2">
      <t>エチゴ</t>
    </rPh>
    <rPh sb="2" eb="3">
      <t>ツマ</t>
    </rPh>
    <rPh sb="3" eb="4">
      <t>アリ</t>
    </rPh>
    <rPh sb="4" eb="6">
      <t>サトヤマ</t>
    </rPh>
    <rPh sb="6" eb="8">
      <t>ゲンダイ</t>
    </rPh>
    <rPh sb="8" eb="11">
      <t>ビジュツカン</t>
    </rPh>
    <phoneticPr fontId="51"/>
  </si>
  <si>
    <t>奥只見・銀山平・尾瀬</t>
    <rPh sb="0" eb="1">
      <t>オク</t>
    </rPh>
    <rPh sb="1" eb="3">
      <t>タダミ</t>
    </rPh>
    <rPh sb="4" eb="6">
      <t>ギンザン</t>
    </rPh>
    <rPh sb="6" eb="7">
      <t>ダイラ</t>
    </rPh>
    <rPh sb="8" eb="10">
      <t>オゼ</t>
    </rPh>
    <phoneticPr fontId="22"/>
  </si>
  <si>
    <t>湯之谷温泉郷</t>
    <rPh sb="0" eb="3">
      <t>ユノタニ</t>
    </rPh>
    <rPh sb="3" eb="5">
      <t>オンセン</t>
    </rPh>
    <rPh sb="5" eb="6">
      <t>ゴウ</t>
    </rPh>
    <phoneticPr fontId="22"/>
  </si>
  <si>
    <t>道の駅　いりひろせ</t>
    <rPh sb="0" eb="1">
      <t>ミチ</t>
    </rPh>
    <rPh sb="2" eb="3">
      <t>エキ</t>
    </rPh>
    <phoneticPr fontId="22"/>
  </si>
  <si>
    <t>湯沢町</t>
    <rPh sb="0" eb="3">
      <t>ユザワマチ</t>
    </rPh>
    <phoneticPr fontId="2"/>
  </si>
  <si>
    <t>越後湯沢温泉</t>
  </si>
  <si>
    <t>湯沢高原アルプの里</t>
  </si>
  <si>
    <t>ドラゴンドラ</t>
  </si>
  <si>
    <t>フジロックフェスティバル</t>
  </si>
  <si>
    <t>道の駅みつまた</t>
    <rPh sb="0" eb="1">
      <t>ミチ</t>
    </rPh>
    <rPh sb="2" eb="3">
      <t>エキ</t>
    </rPh>
    <phoneticPr fontId="2"/>
  </si>
  <si>
    <t>六日町温泉</t>
    <rPh sb="0" eb="3">
      <t>ムイカマチ</t>
    </rPh>
    <rPh sb="3" eb="5">
      <t>オンセン</t>
    </rPh>
    <phoneticPr fontId="20"/>
  </si>
  <si>
    <t>上の原高原温泉</t>
    <rPh sb="0" eb="1">
      <t>ウエ</t>
    </rPh>
    <rPh sb="2" eb="3">
      <t>ハラ</t>
    </rPh>
    <rPh sb="3" eb="5">
      <t>コウゲン</t>
    </rPh>
    <rPh sb="5" eb="7">
      <t>オンセン</t>
    </rPh>
    <phoneticPr fontId="20"/>
  </si>
  <si>
    <t>樺野沢温泉</t>
    <rPh sb="0" eb="1">
      <t>カバ</t>
    </rPh>
    <rPh sb="1" eb="2">
      <t>ノ</t>
    </rPh>
    <rPh sb="2" eb="3">
      <t>サワ</t>
    </rPh>
    <rPh sb="3" eb="5">
      <t>オンセン</t>
    </rPh>
    <phoneticPr fontId="20"/>
  </si>
  <si>
    <t>新米ｷｬﾝﾍﾟｰﾝ</t>
    <rPh sb="0" eb="2">
      <t>シンマイ</t>
    </rPh>
    <phoneticPr fontId="20"/>
  </si>
  <si>
    <t>八色の森公園</t>
    <rPh sb="0" eb="2">
      <t>ヤイロ</t>
    </rPh>
    <rPh sb="3" eb="4">
      <t>モリ</t>
    </rPh>
    <rPh sb="4" eb="6">
      <t>コウエン</t>
    </rPh>
    <phoneticPr fontId="20"/>
  </si>
  <si>
    <t>道の駅南魚沼</t>
    <rPh sb="0" eb="1">
      <t>ミチ</t>
    </rPh>
    <rPh sb="2" eb="3">
      <t>エキ</t>
    </rPh>
    <rPh sb="3" eb="6">
      <t>ミナミウオヌマ</t>
    </rPh>
    <phoneticPr fontId="52"/>
  </si>
  <si>
    <t>津南町</t>
    <rPh sb="0" eb="3">
      <t>ツナンマチ</t>
    </rPh>
    <phoneticPr fontId="2"/>
  </si>
  <si>
    <t>ひまわり広場</t>
  </si>
  <si>
    <t>ニュー・グリーンピア津南（スキー場・キャンプ場以外）</t>
    <rPh sb="16" eb="17">
      <t>ジョウ</t>
    </rPh>
    <rPh sb="22" eb="23">
      <t>ジョウ</t>
    </rPh>
    <rPh sb="23" eb="25">
      <t>イガイ</t>
    </rPh>
    <phoneticPr fontId="24"/>
  </si>
  <si>
    <t>上越市</t>
    <rPh sb="0" eb="3">
      <t>ジョウエツシ</t>
    </rPh>
    <phoneticPr fontId="2"/>
  </si>
  <si>
    <t>春日山城跡</t>
  </si>
  <si>
    <t>上越科学館</t>
  </si>
  <si>
    <t>上越市立水族博物館「うみがたり」</t>
    <rPh sb="0" eb="3">
      <t>ジョウエツシ</t>
    </rPh>
    <rPh sb="3" eb="4">
      <t>リツ</t>
    </rPh>
    <rPh sb="4" eb="6">
      <t>スイゾク</t>
    </rPh>
    <rPh sb="6" eb="9">
      <t>ハクブツカン</t>
    </rPh>
    <phoneticPr fontId="25"/>
  </si>
  <si>
    <t>上越市立歴史博物館</t>
    <rPh sb="0" eb="3">
      <t>ジョウエツシ</t>
    </rPh>
    <rPh sb="3" eb="4">
      <t>リツ</t>
    </rPh>
    <rPh sb="4" eb="6">
      <t>レキシ</t>
    </rPh>
    <rPh sb="6" eb="9">
      <t>ハクブツカン</t>
    </rPh>
    <phoneticPr fontId="25"/>
  </si>
  <si>
    <t>高田城址公園観桜会（4月）</t>
    <rPh sb="0" eb="2">
      <t>タカダ</t>
    </rPh>
    <rPh sb="2" eb="4">
      <t>ジョウシ</t>
    </rPh>
    <rPh sb="4" eb="6">
      <t>コウエン</t>
    </rPh>
    <rPh sb="6" eb="9">
      <t>カンオウカイ</t>
    </rPh>
    <phoneticPr fontId="25"/>
  </si>
  <si>
    <t>上越まつり（7月）</t>
  </si>
  <si>
    <t>越後・謙信SAKEまつり（10月）</t>
  </si>
  <si>
    <t>雪だるま物産館</t>
  </si>
  <si>
    <t>キューピットバレイ（スキー）</t>
  </si>
  <si>
    <t>県立大潟水と森公園</t>
  </si>
  <si>
    <t>道の駅 よしかわ杜氏の郷</t>
  </si>
  <si>
    <t>うみてらす名立</t>
  </si>
  <si>
    <t>リージョンプラザ（インドアスタジアム）</t>
  </si>
  <si>
    <t>スポーツ・レクリエーション</t>
  </si>
  <si>
    <t>糸魚川市</t>
    <rPh sb="0" eb="4">
      <t>イトイガワシ</t>
    </rPh>
    <phoneticPr fontId="2"/>
  </si>
  <si>
    <t>フォッサマグナミュージアム</t>
  </si>
  <si>
    <t>道の駅マリンドリーム能生</t>
  </si>
  <si>
    <t>道の駅親不知ピアパーク</t>
  </si>
  <si>
    <t>ヒスイ王国館</t>
  </si>
  <si>
    <t>道の駅越後市振の関</t>
  </si>
  <si>
    <t>糸魚川ジオステーションジオパル</t>
    <rPh sb="0" eb="3">
      <t>イトイガワ</t>
    </rPh>
    <phoneticPr fontId="45"/>
  </si>
  <si>
    <t>妙高市</t>
    <rPh sb="0" eb="3">
      <t>ミョウコウシ</t>
    </rPh>
    <phoneticPr fontId="2"/>
  </si>
  <si>
    <t>妙高高原温泉郷</t>
  </si>
  <si>
    <t>苗名滝</t>
  </si>
  <si>
    <t>斑尾高原</t>
  </si>
  <si>
    <t>六・十朝市</t>
  </si>
  <si>
    <t>道の駅あらい</t>
  </si>
  <si>
    <t>国立妙高青少年自然の家</t>
  </si>
  <si>
    <t>笹ヶ峰高原</t>
  </si>
  <si>
    <t>妙高山麓直売センターとまと</t>
  </si>
  <si>
    <t>佐渡市</t>
    <rPh sb="0" eb="3">
      <t>サドシ</t>
    </rPh>
    <phoneticPr fontId="2"/>
  </si>
  <si>
    <t>佐渡金山</t>
  </si>
  <si>
    <t>トキの森公園</t>
  </si>
  <si>
    <t>別表第１　出発地別観光客の状況(四半期別・県内県外別・地域別)</t>
    <rPh sb="0" eb="2">
      <t>ベッピョウ</t>
    </rPh>
    <rPh sb="2" eb="3">
      <t>ダイ</t>
    </rPh>
    <rPh sb="5" eb="8">
      <t>シュッパツチ</t>
    </rPh>
    <rPh sb="8" eb="9">
      <t>ベツ</t>
    </rPh>
    <rPh sb="9" eb="12">
      <t>カンコウキャク</t>
    </rPh>
    <rPh sb="13" eb="15">
      <t>ジョウキョウ</t>
    </rPh>
    <rPh sb="16" eb="19">
      <t>シハンキ</t>
    </rPh>
    <rPh sb="19" eb="20">
      <t>ベツ</t>
    </rPh>
    <rPh sb="21" eb="23">
      <t>ケンナイ</t>
    </rPh>
    <rPh sb="23" eb="25">
      <t>ケンガイ</t>
    </rPh>
    <rPh sb="25" eb="26">
      <t>ベツ</t>
    </rPh>
    <rPh sb="27" eb="29">
      <t>チイキ</t>
    </rPh>
    <rPh sb="29" eb="30">
      <t>ベツ</t>
    </rPh>
    <phoneticPr fontId="2"/>
  </si>
  <si>
    <t>（単位：千人、％）</t>
    <rPh sb="1" eb="3">
      <t>タンイ</t>
    </rPh>
    <rPh sb="4" eb="5">
      <t>セン</t>
    </rPh>
    <rPh sb="5" eb="6">
      <t>ニン</t>
    </rPh>
    <phoneticPr fontId="2"/>
  </si>
  <si>
    <t xml:space="preserve"> 四半期別
地域別</t>
    <rPh sb="1" eb="4">
      <t>シハンキ</t>
    </rPh>
    <rPh sb="3" eb="5">
      <t>キベツ</t>
    </rPh>
    <rPh sb="7" eb="9">
      <t>チイキ</t>
    </rPh>
    <rPh sb="9" eb="10">
      <t>モクテキベツ</t>
    </rPh>
    <phoneticPr fontId="2"/>
  </si>
  <si>
    <t>四　半　期　別　・　県　内　県　外　別</t>
    <rPh sb="0" eb="1">
      <t>ヨン</t>
    </rPh>
    <rPh sb="2" eb="3">
      <t>ハン</t>
    </rPh>
    <rPh sb="4" eb="5">
      <t>キ</t>
    </rPh>
    <rPh sb="6" eb="7">
      <t>ベツ</t>
    </rPh>
    <rPh sb="10" eb="11">
      <t>ケン</t>
    </rPh>
    <rPh sb="12" eb="13">
      <t>ナイ</t>
    </rPh>
    <rPh sb="14" eb="15">
      <t>ケン</t>
    </rPh>
    <rPh sb="16" eb="17">
      <t>ガイ</t>
    </rPh>
    <rPh sb="18" eb="19">
      <t>ベツ</t>
    </rPh>
    <phoneticPr fontId="2"/>
  </si>
  <si>
    <t>四　半　期　別　・　県　内　県　外　別</t>
    <phoneticPr fontId="2"/>
  </si>
  <si>
    <t>地域別</t>
    <rPh sb="0" eb="3">
      <t>チイキベツ</t>
    </rPh>
    <phoneticPr fontId="2"/>
  </si>
  <si>
    <t>計</t>
    <rPh sb="0" eb="1">
      <t>ケイ</t>
    </rPh>
    <phoneticPr fontId="2"/>
  </si>
  <si>
    <t>総人数</t>
    <rPh sb="0" eb="3">
      <t>ソウニンズウ</t>
    </rPh>
    <phoneticPr fontId="2"/>
  </si>
  <si>
    <t>県内</t>
    <rPh sb="0" eb="2">
      <t>ケンナイ</t>
    </rPh>
    <phoneticPr fontId="2"/>
  </si>
  <si>
    <t>県外</t>
    <rPh sb="0" eb="2">
      <t>ケンガイ</t>
    </rPh>
    <phoneticPr fontId="2"/>
  </si>
  <si>
    <t>人数</t>
    <rPh sb="0" eb="2">
      <t>ニンズウ</t>
    </rPh>
    <phoneticPr fontId="2"/>
  </si>
  <si>
    <t>構成比</t>
    <rPh sb="0" eb="3">
      <t>コウセイヒ</t>
    </rPh>
    <phoneticPr fontId="2"/>
  </si>
  <si>
    <t>※ 端数処理（四捨五入）を行っているため、合計と内訳が一致しない場合がある（以下の表も同様）。</t>
    <phoneticPr fontId="2"/>
  </si>
  <si>
    <t>別表第２－１　出発地別観光客の状況(年間・出発地別・地域別)</t>
    <rPh sb="0" eb="2">
      <t>ベッピョウ</t>
    </rPh>
    <rPh sb="2" eb="3">
      <t>ダイ</t>
    </rPh>
    <rPh sb="7" eb="10">
      <t>シュッパツチ</t>
    </rPh>
    <rPh sb="10" eb="11">
      <t>ベツ</t>
    </rPh>
    <rPh sb="11" eb="14">
      <t>カンコウキャク</t>
    </rPh>
    <rPh sb="15" eb="17">
      <t>ジョウキョウ</t>
    </rPh>
    <rPh sb="18" eb="20">
      <t>ネンカン</t>
    </rPh>
    <rPh sb="21" eb="24">
      <t>シュッパツチ</t>
    </rPh>
    <rPh sb="24" eb="25">
      <t>ベツ</t>
    </rPh>
    <rPh sb="26" eb="28">
      <t>チイキ</t>
    </rPh>
    <rPh sb="28" eb="29">
      <t>ベツ</t>
    </rPh>
    <phoneticPr fontId="2"/>
  </si>
  <si>
    <t xml:space="preserve"> 出発地別
地域別</t>
    <rPh sb="1" eb="4">
      <t>シュッパツチ</t>
    </rPh>
    <rPh sb="4" eb="5">
      <t>ベツ</t>
    </rPh>
    <rPh sb="7" eb="9">
      <t>チイキ</t>
    </rPh>
    <rPh sb="9" eb="10">
      <t>モクテキベツ</t>
    </rPh>
    <phoneticPr fontId="2"/>
  </si>
  <si>
    <t>出　発　地　別</t>
    <rPh sb="0" eb="1">
      <t>デ</t>
    </rPh>
    <rPh sb="2" eb="3">
      <t>ハッ</t>
    </rPh>
    <rPh sb="4" eb="5">
      <t>チ</t>
    </rPh>
    <rPh sb="6" eb="7">
      <t>ベツ</t>
    </rPh>
    <phoneticPr fontId="2"/>
  </si>
  <si>
    <t>県外計</t>
    <rPh sb="0" eb="2">
      <t>ケンガイ</t>
    </rPh>
    <rPh sb="2" eb="3">
      <t>ケイ</t>
    </rPh>
    <phoneticPr fontId="2"/>
  </si>
  <si>
    <t>北海道</t>
    <rPh sb="0" eb="3">
      <t>ホッカイドウ</t>
    </rPh>
    <phoneticPr fontId="2"/>
  </si>
  <si>
    <t>東北</t>
    <rPh sb="0" eb="2">
      <t>トウホク</t>
    </rPh>
    <phoneticPr fontId="2"/>
  </si>
  <si>
    <t>北陸</t>
    <rPh sb="0" eb="2">
      <t>ホクリク</t>
    </rPh>
    <phoneticPr fontId="2"/>
  </si>
  <si>
    <t>関東</t>
    <rPh sb="0" eb="2">
      <t>カントウ</t>
    </rPh>
    <phoneticPr fontId="2"/>
  </si>
  <si>
    <t>中部</t>
    <rPh sb="0" eb="2">
      <t>チュウブ</t>
    </rPh>
    <phoneticPr fontId="2"/>
  </si>
  <si>
    <t>近畿</t>
    <rPh sb="0" eb="2">
      <t>キンキ</t>
    </rPh>
    <phoneticPr fontId="2"/>
  </si>
  <si>
    <t>中国</t>
    <rPh sb="0" eb="2">
      <t>チュウゴク</t>
    </rPh>
    <phoneticPr fontId="2"/>
  </si>
  <si>
    <t>四国</t>
    <rPh sb="0" eb="2">
      <t>シコク</t>
    </rPh>
    <phoneticPr fontId="2"/>
  </si>
  <si>
    <t>九州</t>
    <rPh sb="0" eb="2">
      <t>キュウシュウ</t>
    </rPh>
    <phoneticPr fontId="2"/>
  </si>
  <si>
    <t>別表第２-２①　出発地別観光客の状況(１～３月・出発地別・地域別)</t>
    <rPh sb="0" eb="2">
      <t>ベッピョウ</t>
    </rPh>
    <rPh sb="2" eb="3">
      <t>ダイ</t>
    </rPh>
    <rPh sb="8" eb="11">
      <t>シュッパツチ</t>
    </rPh>
    <rPh sb="11" eb="12">
      <t>ベツ</t>
    </rPh>
    <rPh sb="12" eb="15">
      <t>カンコウキャク</t>
    </rPh>
    <rPh sb="16" eb="18">
      <t>ジョウキョウ</t>
    </rPh>
    <rPh sb="22" eb="23">
      <t>ガツ</t>
    </rPh>
    <rPh sb="24" eb="27">
      <t>シュッパツチ</t>
    </rPh>
    <rPh sb="27" eb="28">
      <t>ベツ</t>
    </rPh>
    <rPh sb="29" eb="31">
      <t>チイキ</t>
    </rPh>
    <rPh sb="31" eb="32">
      <t>ベツ</t>
    </rPh>
    <phoneticPr fontId="2"/>
  </si>
  <si>
    <t>１　～　３　月　・　出　発　地　別</t>
    <rPh sb="6" eb="7">
      <t>ガツ</t>
    </rPh>
    <rPh sb="10" eb="11">
      <t>デ</t>
    </rPh>
    <rPh sb="12" eb="13">
      <t>ハツ</t>
    </rPh>
    <rPh sb="14" eb="15">
      <t>チ</t>
    </rPh>
    <rPh sb="16" eb="17">
      <t>ベツ</t>
    </rPh>
    <phoneticPr fontId="2"/>
  </si>
  <si>
    <t>別表第２-２②　出発地別観光客の状況(４～６月・出発地別・地域別)</t>
    <rPh sb="0" eb="2">
      <t>ベッピョウ</t>
    </rPh>
    <rPh sb="2" eb="3">
      <t>ダイ</t>
    </rPh>
    <rPh sb="8" eb="11">
      <t>シュッパツチ</t>
    </rPh>
    <rPh sb="11" eb="12">
      <t>ベツ</t>
    </rPh>
    <rPh sb="12" eb="15">
      <t>カンコウキャク</t>
    </rPh>
    <rPh sb="16" eb="18">
      <t>ジョウキョウ</t>
    </rPh>
    <rPh sb="22" eb="23">
      <t>ガツ</t>
    </rPh>
    <rPh sb="24" eb="27">
      <t>シュッパツチ</t>
    </rPh>
    <rPh sb="27" eb="28">
      <t>ベツ</t>
    </rPh>
    <rPh sb="29" eb="31">
      <t>チイキ</t>
    </rPh>
    <rPh sb="31" eb="32">
      <t>ベツ</t>
    </rPh>
    <phoneticPr fontId="2"/>
  </si>
  <si>
    <t>４　～　６　月　・　出　発　地　別</t>
    <rPh sb="6" eb="7">
      <t>ツキ</t>
    </rPh>
    <rPh sb="10" eb="11">
      <t>デ</t>
    </rPh>
    <rPh sb="12" eb="13">
      <t>ハツ</t>
    </rPh>
    <rPh sb="14" eb="15">
      <t>チ</t>
    </rPh>
    <rPh sb="16" eb="17">
      <t>ベツ</t>
    </rPh>
    <phoneticPr fontId="2"/>
  </si>
  <si>
    <t>別表第２-２③　出発地別観光客の状況(７～９月・出発地別・地域別)</t>
    <rPh sb="0" eb="2">
      <t>ベッピョウ</t>
    </rPh>
    <rPh sb="2" eb="3">
      <t>ダイ</t>
    </rPh>
    <rPh sb="8" eb="11">
      <t>シュッパツチ</t>
    </rPh>
    <rPh sb="11" eb="12">
      <t>ベツ</t>
    </rPh>
    <rPh sb="12" eb="15">
      <t>カンコウキャク</t>
    </rPh>
    <rPh sb="16" eb="18">
      <t>ジョウキョウ</t>
    </rPh>
    <rPh sb="22" eb="23">
      <t>ガツ</t>
    </rPh>
    <rPh sb="24" eb="27">
      <t>シュッパツチ</t>
    </rPh>
    <rPh sb="27" eb="28">
      <t>ベツ</t>
    </rPh>
    <rPh sb="29" eb="31">
      <t>チイキ</t>
    </rPh>
    <rPh sb="31" eb="32">
      <t>ベツ</t>
    </rPh>
    <phoneticPr fontId="2"/>
  </si>
  <si>
    <t>７　～　９　月　・　出　発　地　別</t>
    <rPh sb="6" eb="7">
      <t>ツキ</t>
    </rPh>
    <rPh sb="10" eb="11">
      <t>デ</t>
    </rPh>
    <rPh sb="12" eb="13">
      <t>ハツ</t>
    </rPh>
    <rPh sb="14" eb="15">
      <t>チ</t>
    </rPh>
    <rPh sb="16" eb="17">
      <t>ベツ</t>
    </rPh>
    <phoneticPr fontId="2"/>
  </si>
  <si>
    <t>別表第２-２④　出発地別観光客の状況(10～12月・出発地別・地域別)</t>
    <rPh sb="0" eb="2">
      <t>ベッピョウ</t>
    </rPh>
    <rPh sb="2" eb="3">
      <t>ダイ</t>
    </rPh>
    <rPh sb="8" eb="11">
      <t>シュッパツチ</t>
    </rPh>
    <rPh sb="11" eb="12">
      <t>ベツ</t>
    </rPh>
    <rPh sb="12" eb="15">
      <t>カンコウキャク</t>
    </rPh>
    <rPh sb="16" eb="18">
      <t>ジョウキョウ</t>
    </rPh>
    <rPh sb="24" eb="25">
      <t>ガツ</t>
    </rPh>
    <rPh sb="26" eb="29">
      <t>シュッパツチ</t>
    </rPh>
    <rPh sb="29" eb="30">
      <t>ベツ</t>
    </rPh>
    <rPh sb="31" eb="33">
      <t>チイキ</t>
    </rPh>
    <rPh sb="33" eb="34">
      <t>ベツ</t>
    </rPh>
    <phoneticPr fontId="2"/>
  </si>
  <si>
    <t>10　～　12　月　・　出　発　地　別</t>
    <rPh sb="8" eb="9">
      <t>ツキ</t>
    </rPh>
    <rPh sb="12" eb="13">
      <t>デ</t>
    </rPh>
    <rPh sb="14" eb="15">
      <t>ハツ</t>
    </rPh>
    <rPh sb="16" eb="17">
      <t>チ</t>
    </rPh>
    <rPh sb="18" eb="19">
      <t>ベツ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</si>
</sst>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_);[Red]\(#,##0\)"/>
    <numFmt numFmtId="177" formatCode="#,##0.0_);[Red]\(#,##0.0\)"/>
    <numFmt numFmtId="178" formatCode="\+0.0%;&quot;△ &quot;0.0%"/>
    <numFmt numFmtId="179" formatCode="#,##0&quot;人&quot;"/>
    <numFmt numFmtId="180" formatCode="#,##0.0&quot;％&quot;"/>
    <numFmt numFmtId="181" formatCode="\+0.0%;\-0.0%"/>
    <numFmt numFmtId="182" formatCode="&quot;＋&quot;0.0%;&quot;－&quot;0.0%"/>
    <numFmt numFmtId="183" formatCode="#,##0_ "/>
    <numFmt numFmtId="184" formatCode="[$-411]g/&quot;標&quot;&quot;準&quot;"/>
    <numFmt numFmtId="185" formatCode="0.0%"/>
    <numFmt numFmtId="186" formatCode="0.0_ "/>
    <numFmt numFmtId="187" formatCode="#,##0.0_ ;[Red]\-#,##0.0\ "/>
    <numFmt numFmtId="188" formatCode="00"/>
    <numFmt numFmtId="189" formatCode="#,##0.0;[Red]\-#,##0.0"/>
    <numFmt numFmtId="190" formatCode="0.0"/>
  </numFmts>
  <fonts count="6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16"/>
      <name val="ＭＳ Ｐゴシック"/>
      <family val="3"/>
      <charset val="128"/>
    </font>
    <font>
      <sz val="8"/>
      <name val="ＭＳ 明朝"/>
      <family val="1"/>
      <charset val="128"/>
    </font>
    <font>
      <sz val="18"/>
      <name val="ＭＳ ゴシック"/>
      <family val="3"/>
      <charset val="128"/>
    </font>
    <font>
      <sz val="20"/>
      <name val="ＭＳ ゴシック"/>
      <family val="3"/>
      <charset val="128"/>
    </font>
    <font>
      <b/>
      <sz val="18"/>
      <name val="ＭＳ 明朝"/>
      <family val="1"/>
      <charset val="128"/>
    </font>
    <font>
      <b/>
      <sz val="18"/>
      <name val="ＭＳ ゴシック"/>
      <family val="3"/>
      <charset val="128"/>
    </font>
    <font>
      <sz val="18"/>
      <name val="ＭＳ 明朝"/>
      <family val="1"/>
      <charset val="128"/>
    </font>
    <font>
      <i/>
      <sz val="18"/>
      <name val="ＭＳ 明朝"/>
      <family val="1"/>
      <charset val="128"/>
    </font>
    <font>
      <b/>
      <i/>
      <sz val="18"/>
      <name val="ＭＳ 明朝"/>
      <family val="1"/>
      <charset val="128"/>
    </font>
    <font>
      <sz val="22"/>
      <name val="ＭＳ ゴシック"/>
      <family val="3"/>
      <charset val="128"/>
    </font>
    <font>
      <sz val="9"/>
      <name val="ＭＳ Ｐゴシック"/>
      <family val="3"/>
      <charset val="128"/>
    </font>
    <font>
      <sz val="20"/>
      <name val="ＭＳ 明朝"/>
      <family val="1"/>
      <charset val="128"/>
    </font>
    <font>
      <i/>
      <sz val="18"/>
      <name val="ＭＳ ゴシック"/>
      <family val="3"/>
      <charset val="128"/>
    </font>
    <font>
      <sz val="12"/>
      <name val="ＭＳ 明朝"/>
      <family val="1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ゴシック"/>
      <family val="2"/>
      <charset val="128"/>
    </font>
    <font>
      <b/>
      <sz val="13"/>
      <color theme="3"/>
      <name val="ＭＳ ゴシック"/>
      <family val="2"/>
      <charset val="128"/>
    </font>
    <font>
      <sz val="12"/>
      <color rgb="FF9C0006"/>
      <name val="ＭＳ ゴシック"/>
      <family val="2"/>
      <charset val="128"/>
    </font>
    <font>
      <sz val="12"/>
      <color rgb="FF3F3F76"/>
      <name val="ＭＳ ゴシック"/>
      <family val="2"/>
      <charset val="128"/>
    </font>
    <font>
      <sz val="12"/>
      <color rgb="FFFF0000"/>
      <name val="ＭＳ ゴシック"/>
      <family val="2"/>
      <charset val="128"/>
    </font>
    <font>
      <sz val="24"/>
      <name val="ＭＳ ゴシック"/>
      <family val="3"/>
      <charset val="128"/>
    </font>
    <font>
      <sz val="28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ゴシック"/>
      <family val="3"/>
      <charset val="128"/>
    </font>
    <font>
      <sz val="18"/>
      <color indexed="8"/>
      <name val="ＭＳ 明朝"/>
      <family val="1"/>
      <charset val="128"/>
    </font>
    <font>
      <sz val="18"/>
      <color indexed="8"/>
      <name val="ＭＳ ゴシック"/>
      <family val="3"/>
      <charset val="128"/>
    </font>
    <font>
      <sz val="12"/>
      <name val="ＭＳ ゴシック"/>
      <family val="3"/>
      <charset val="128"/>
    </font>
    <font>
      <i/>
      <sz val="11"/>
      <name val="ＭＳ ゴシック"/>
      <family val="3"/>
      <charset val="128"/>
    </font>
    <font>
      <sz val="14"/>
      <name val="ＭＳ ゴシック"/>
      <family val="3"/>
      <charset val="128"/>
    </font>
    <font>
      <i/>
      <sz val="16"/>
      <name val="ＭＳ ゴシック"/>
      <family val="3"/>
      <charset val="128"/>
    </font>
    <font>
      <sz val="16"/>
      <color indexed="8"/>
      <name val="ＭＳ 明朝"/>
      <family val="1"/>
      <charset val="128"/>
    </font>
    <font>
      <i/>
      <sz val="16"/>
      <name val="ＭＳ 明朝"/>
      <family val="1"/>
      <charset val="128"/>
    </font>
    <font>
      <sz val="16"/>
      <color indexed="8"/>
      <name val="ＭＳ ゴシック"/>
      <family val="3"/>
      <charset val="128"/>
    </font>
    <font>
      <i/>
      <sz val="16"/>
      <color indexed="8"/>
      <name val="ＭＳ 明朝"/>
      <family val="1"/>
      <charset val="128"/>
    </font>
    <font>
      <sz val="26"/>
      <name val="ＭＳ ゴシック"/>
      <family val="3"/>
      <charset val="128"/>
    </font>
    <font>
      <sz val="15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ゴシック"/>
      <family val="3"/>
      <charset val="128"/>
    </font>
    <font>
      <sz val="13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3F3F76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36"/>
      <name val="ＭＳ ゴシック"/>
      <family val="3"/>
      <charset val="128"/>
    </font>
    <font>
      <b/>
      <sz val="11"/>
      <name val="ＭＳ 明朝"/>
      <family val="1"/>
      <charset val="128"/>
    </font>
    <font>
      <b/>
      <sz val="11"/>
      <name val="ＭＳ ゴシック"/>
      <family val="3"/>
      <charset val="128"/>
    </font>
    <font>
      <sz val="15"/>
      <name val="ＭＳ 明朝"/>
      <family val="1"/>
      <charset val="128"/>
    </font>
    <font>
      <i/>
      <sz val="11"/>
      <name val="ＭＳ 明朝"/>
      <family val="1"/>
      <charset val="128"/>
    </font>
    <font>
      <sz val="24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8" tint="0.79998168889431442"/>
        <bgColor indexed="64"/>
      </patternFill>
    </fill>
  </fills>
  <borders count="15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medium">
        <color indexed="64"/>
      </right>
      <top/>
      <bottom style="double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9">
    <xf numFmtId="0" fontId="0" fillId="0" borderId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6" fillId="0" borderId="0"/>
    <xf numFmtId="9" fontId="1" fillId="0" borderId="0" applyFont="0" applyFill="0" applyBorder="0" applyAlignment="0" applyProtection="0">
      <alignment vertical="center"/>
    </xf>
    <xf numFmtId="0" fontId="16" fillId="0" borderId="0"/>
    <xf numFmtId="0" fontId="1" fillId="0" borderId="0"/>
    <xf numFmtId="9" fontId="1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46">
    <xf numFmtId="0" fontId="0" fillId="0" borderId="0" xfId="0"/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Fill="1" applyAlignment="1">
      <alignment shrinkToFit="1"/>
    </xf>
    <xf numFmtId="0" fontId="12" fillId="0" borderId="0" xfId="0" applyFont="1" applyFill="1" applyAlignment="1">
      <alignment shrinkToFit="1"/>
    </xf>
    <xf numFmtId="0" fontId="6" fillId="2" borderId="0" xfId="0" applyFont="1" applyFill="1" applyAlignment="1">
      <alignment horizontal="center"/>
    </xf>
    <xf numFmtId="38" fontId="1" fillId="0" borderId="0" xfId="1" applyFont="1" applyBorder="1" applyAlignment="1">
      <alignment vertical="center"/>
    </xf>
    <xf numFmtId="0" fontId="8" fillId="0" borderId="0" xfId="0" applyFont="1" applyFill="1" applyAlignment="1">
      <alignment shrinkToFit="1"/>
    </xf>
    <xf numFmtId="0" fontId="8" fillId="0" borderId="0" xfId="0" applyFont="1" applyFill="1" applyAlignment="1">
      <alignment horizontal="center" shrinkToFit="1"/>
    </xf>
    <xf numFmtId="0" fontId="8" fillId="0" borderId="0" xfId="0" applyFont="1" applyFill="1" applyAlignment="1">
      <alignment horizontal="left" wrapText="1" shrinkToFit="1"/>
    </xf>
    <xf numFmtId="0" fontId="11" fillId="0" borderId="0" xfId="0" applyFont="1" applyFill="1" applyAlignment="1">
      <alignment shrinkToFit="1"/>
    </xf>
    <xf numFmtId="0" fontId="12" fillId="0" borderId="0" xfId="0" applyFont="1" applyFill="1" applyBorder="1" applyAlignment="1">
      <alignment shrinkToFit="1"/>
    </xf>
    <xf numFmtId="176" fontId="8" fillId="0" borderId="9" xfId="0" applyNumberFormat="1" applyFont="1" applyFill="1" applyBorder="1" applyAlignment="1">
      <alignment horizontal="right" vertical="center" shrinkToFit="1"/>
    </xf>
    <xf numFmtId="177" fontId="13" fillId="0" borderId="0" xfId="0" applyNumberFormat="1" applyFont="1" applyFill="1" applyBorder="1" applyAlignment="1">
      <alignment horizontal="center" shrinkToFit="1"/>
    </xf>
    <xf numFmtId="0" fontId="8" fillId="0" borderId="0" xfId="0" applyFont="1" applyFill="1" applyBorder="1" applyAlignment="1">
      <alignment horizontal="distributed" shrinkToFit="1"/>
    </xf>
    <xf numFmtId="0" fontId="8" fillId="0" borderId="0" xfId="0" applyFont="1" applyFill="1" applyAlignment="1"/>
    <xf numFmtId="0" fontId="8" fillId="0" borderId="0" xfId="0" applyFont="1" applyFill="1" applyAlignment="1">
      <alignment horizontal="center"/>
    </xf>
    <xf numFmtId="0" fontId="10" fillId="0" borderId="0" xfId="0" applyFont="1" applyFill="1"/>
    <xf numFmtId="0" fontId="8" fillId="0" borderId="0" xfId="0" applyFont="1" applyFill="1" applyAlignment="1">
      <alignment horizontal="left" vertical="center" wrapText="1"/>
    </xf>
    <xf numFmtId="0" fontId="11" fillId="0" borderId="0" xfId="0" applyFont="1" applyFill="1"/>
    <xf numFmtId="38" fontId="8" fillId="0" borderId="0" xfId="0" applyNumberFormat="1" applyFont="1" applyFill="1" applyBorder="1" applyAlignment="1">
      <alignment horizontal="right" vertical="center" shrinkToFit="1"/>
    </xf>
    <xf numFmtId="0" fontId="10" fillId="0" borderId="0" xfId="0" applyFont="1" applyFill="1" applyAlignment="1">
      <alignment horizontal="right"/>
    </xf>
    <xf numFmtId="38" fontId="14" fillId="0" borderId="0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 shrinkToFit="1"/>
    </xf>
    <xf numFmtId="0" fontId="8" fillId="0" borderId="9" xfId="0" applyFont="1" applyFill="1" applyBorder="1" applyAlignment="1">
      <alignment horizontal="center" vertical="center" shrinkToFit="1"/>
    </xf>
    <xf numFmtId="49" fontId="17" fillId="0" borderId="0" xfId="0" applyNumberFormat="1" applyFont="1" applyFill="1" applyAlignment="1">
      <alignment shrinkToFit="1"/>
    </xf>
    <xf numFmtId="49" fontId="17" fillId="0" borderId="0" xfId="0" applyNumberFormat="1" applyFont="1" applyFill="1" applyAlignment="1">
      <alignment horizontal="left" shrinkToFit="1"/>
    </xf>
    <xf numFmtId="176" fontId="8" fillId="0" borderId="1" xfId="0" applyNumberFormat="1" applyFont="1" applyFill="1" applyBorder="1" applyAlignment="1">
      <alignment horizontal="right" vertical="center" shrinkToFit="1"/>
    </xf>
    <xf numFmtId="38" fontId="8" fillId="0" borderId="9" xfId="0" applyNumberFormat="1" applyFont="1" applyFill="1" applyBorder="1" applyAlignment="1">
      <alignment horizontal="right" vertical="center" shrinkToFit="1"/>
    </xf>
    <xf numFmtId="0" fontId="8" fillId="0" borderId="8" xfId="0" applyFont="1" applyFill="1" applyBorder="1" applyAlignment="1">
      <alignment horizontal="center" vertical="center"/>
    </xf>
    <xf numFmtId="176" fontId="12" fillId="0" borderId="17" xfId="0" applyNumberFormat="1" applyFont="1" applyFill="1" applyBorder="1" applyAlignment="1">
      <alignment vertical="center" shrinkToFit="1"/>
    </xf>
    <xf numFmtId="176" fontId="12" fillId="0" borderId="18" xfId="0" applyNumberFormat="1" applyFont="1" applyFill="1" applyBorder="1" applyAlignment="1">
      <alignment vertical="center" shrinkToFit="1"/>
    </xf>
    <xf numFmtId="176" fontId="12" fillId="0" borderId="19" xfId="0" applyNumberFormat="1" applyFont="1" applyFill="1" applyBorder="1" applyAlignment="1">
      <alignment horizontal="right" vertical="center" shrinkToFit="1"/>
    </xf>
    <xf numFmtId="176" fontId="12" fillId="0" borderId="19" xfId="0" applyNumberFormat="1" applyFont="1" applyFill="1" applyBorder="1" applyAlignment="1">
      <alignment vertical="center" shrinkToFit="1"/>
    </xf>
    <xf numFmtId="176" fontId="13" fillId="0" borderId="17" xfId="0" applyNumberFormat="1" applyFont="1" applyFill="1" applyBorder="1" applyAlignment="1">
      <alignment vertical="center" shrinkToFit="1"/>
    </xf>
    <xf numFmtId="176" fontId="12" fillId="0" borderId="12" xfId="0" applyNumberFormat="1" applyFont="1" applyFill="1" applyBorder="1" applyAlignment="1">
      <alignment vertical="center" shrinkToFit="1"/>
    </xf>
    <xf numFmtId="176" fontId="13" fillId="0" borderId="12" xfId="0" applyNumberFormat="1" applyFont="1" applyFill="1" applyBorder="1" applyAlignment="1">
      <alignment vertical="center" shrinkToFit="1"/>
    </xf>
    <xf numFmtId="38" fontId="8" fillId="0" borderId="17" xfId="0" applyNumberFormat="1" applyFont="1" applyFill="1" applyBorder="1" applyAlignment="1">
      <alignment horizontal="right" vertical="center" shrinkToFit="1"/>
    </xf>
    <xf numFmtId="176" fontId="13" fillId="0" borderId="17" xfId="0" applyNumberFormat="1" applyFont="1" applyFill="1" applyBorder="1" applyAlignment="1">
      <alignment horizontal="right" vertical="center" shrinkToFit="1"/>
    </xf>
    <xf numFmtId="0" fontId="8" fillId="0" borderId="9" xfId="0" applyFont="1" applyFill="1" applyBorder="1" applyAlignment="1">
      <alignment horizontal="center" vertical="center" wrapText="1" shrinkToFit="1"/>
    </xf>
    <xf numFmtId="178" fontId="12" fillId="0" borderId="0" xfId="0" applyNumberFormat="1" applyFont="1" applyFill="1" applyBorder="1" applyAlignment="1">
      <alignment shrinkToFit="1"/>
    </xf>
    <xf numFmtId="0" fontId="8" fillId="0" borderId="24" xfId="0" applyFont="1" applyFill="1" applyBorder="1" applyAlignment="1">
      <alignment horizontal="center" vertical="center" shrinkToFit="1"/>
    </xf>
    <xf numFmtId="176" fontId="18" fillId="0" borderId="25" xfId="0" applyNumberFormat="1" applyFont="1" applyFill="1" applyBorder="1" applyAlignment="1">
      <alignment vertical="center" shrinkToFit="1"/>
    </xf>
    <xf numFmtId="176" fontId="18" fillId="0" borderId="25" xfId="0" applyNumberFormat="1" applyFont="1" applyFill="1" applyBorder="1" applyAlignment="1">
      <alignment horizontal="right" vertical="center" shrinkToFit="1"/>
    </xf>
    <xf numFmtId="0" fontId="8" fillId="0" borderId="32" xfId="0" applyFont="1" applyFill="1" applyBorder="1" applyAlignment="1">
      <alignment horizontal="center" vertical="center"/>
    </xf>
    <xf numFmtId="176" fontId="12" fillId="0" borderId="33" xfId="0" applyNumberFormat="1" applyFont="1" applyFill="1" applyBorder="1" applyAlignment="1">
      <alignment vertical="center" shrinkToFit="1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8" fillId="0" borderId="36" xfId="0" applyNumberFormat="1" applyFont="1" applyFill="1" applyBorder="1" applyAlignment="1">
      <alignment vertical="center" shrinkToFit="1"/>
    </xf>
    <xf numFmtId="176" fontId="8" fillId="0" borderId="37" xfId="0" applyNumberFormat="1" applyFont="1" applyFill="1" applyBorder="1" applyAlignment="1">
      <alignment vertical="center" shrinkToFit="1"/>
    </xf>
    <xf numFmtId="176" fontId="8" fillId="0" borderId="38" xfId="0" applyNumberFormat="1" applyFont="1" applyFill="1" applyBorder="1" applyAlignment="1">
      <alignment vertical="center" shrinkToFit="1"/>
    </xf>
    <xf numFmtId="176" fontId="12" fillId="0" borderId="20" xfId="0" applyNumberFormat="1" applyFont="1" applyFill="1" applyBorder="1" applyAlignment="1">
      <alignment vertical="center" shrinkToFit="1"/>
    </xf>
    <xf numFmtId="38" fontId="8" fillId="0" borderId="36" xfId="0" applyNumberFormat="1" applyFont="1" applyFill="1" applyBorder="1" applyAlignment="1">
      <alignment horizontal="right" vertical="center" shrinkToFit="1"/>
    </xf>
    <xf numFmtId="38" fontId="8" fillId="0" borderId="37" xfId="0" applyNumberFormat="1" applyFont="1" applyFill="1" applyBorder="1" applyAlignment="1">
      <alignment horizontal="right" vertical="center" shrinkToFit="1"/>
    </xf>
    <xf numFmtId="38" fontId="8" fillId="0" borderId="38" xfId="0" applyNumberFormat="1" applyFont="1" applyFill="1" applyBorder="1" applyAlignment="1">
      <alignment horizontal="right" vertical="center" shrinkToFit="1"/>
    </xf>
    <xf numFmtId="176" fontId="8" fillId="0" borderId="12" xfId="0" applyNumberFormat="1" applyFont="1" applyFill="1" applyBorder="1" applyAlignment="1">
      <alignment vertical="center" shrinkToFit="1"/>
    </xf>
    <xf numFmtId="176" fontId="8" fillId="0" borderId="17" xfId="0" applyNumberFormat="1" applyFont="1" applyFill="1" applyBorder="1" applyAlignment="1">
      <alignment vertical="center" shrinkToFit="1"/>
    </xf>
    <xf numFmtId="176" fontId="12" fillId="3" borderId="18" xfId="0" applyNumberFormat="1" applyFont="1" applyFill="1" applyBorder="1" applyAlignment="1">
      <alignment vertical="center" shrinkToFit="1"/>
    </xf>
    <xf numFmtId="176" fontId="12" fillId="3" borderId="33" xfId="0" applyNumberFormat="1" applyFont="1" applyFill="1" applyBorder="1" applyAlignment="1">
      <alignment vertical="center" shrinkToFit="1"/>
    </xf>
    <xf numFmtId="176" fontId="12" fillId="3" borderId="17" xfId="0" applyNumberFormat="1" applyFont="1" applyFill="1" applyBorder="1" applyAlignment="1">
      <alignment vertical="center" shrinkToFit="1"/>
    </xf>
    <xf numFmtId="176" fontId="12" fillId="3" borderId="17" xfId="0" applyNumberFormat="1" applyFont="1" applyFill="1" applyBorder="1" applyAlignment="1">
      <alignment horizontal="right" vertical="center" shrinkToFit="1"/>
    </xf>
    <xf numFmtId="176" fontId="8" fillId="3" borderId="17" xfId="0" applyNumberFormat="1" applyFont="1" applyFill="1" applyBorder="1" applyAlignment="1">
      <alignment vertical="center" shrinkToFit="1"/>
    </xf>
    <xf numFmtId="176" fontId="13" fillId="3" borderId="17" xfId="0" applyNumberFormat="1" applyFont="1" applyFill="1" applyBorder="1" applyAlignment="1">
      <alignment vertical="center" shrinkToFit="1"/>
    </xf>
    <xf numFmtId="176" fontId="12" fillId="3" borderId="17" xfId="0" applyNumberFormat="1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8" fillId="3" borderId="27" xfId="0" applyFont="1" applyFill="1" applyBorder="1" applyAlignment="1">
      <alignment horizontal="center" vertical="center" shrinkToFit="1"/>
    </xf>
    <xf numFmtId="176" fontId="8" fillId="3" borderId="6" xfId="0" applyNumberFormat="1" applyFont="1" applyFill="1" applyBorder="1" applyAlignment="1">
      <alignment vertical="center" shrinkToFit="1"/>
    </xf>
    <xf numFmtId="176" fontId="8" fillId="3" borderId="28" xfId="0" applyNumberFormat="1" applyFont="1" applyFill="1" applyBorder="1" applyAlignment="1">
      <alignment vertical="center" shrinkToFit="1"/>
    </xf>
    <xf numFmtId="176" fontId="8" fillId="3" borderId="27" xfId="0" applyNumberFormat="1" applyFont="1" applyFill="1" applyBorder="1" applyAlignment="1">
      <alignment vertical="center" shrinkToFit="1"/>
    </xf>
    <xf numFmtId="176" fontId="8" fillId="3" borderId="4" xfId="0" applyNumberFormat="1" applyFont="1" applyFill="1" applyBorder="1" applyAlignment="1">
      <alignment horizontal="center" vertical="center" shrinkToFit="1"/>
    </xf>
    <xf numFmtId="176" fontId="8" fillId="3" borderId="6" xfId="0" applyNumberFormat="1" applyFont="1" applyFill="1" applyBorder="1" applyAlignment="1">
      <alignment horizontal="right" vertical="center" shrinkToFit="1"/>
    </xf>
    <xf numFmtId="38" fontId="8" fillId="0" borderId="18" xfId="0" applyNumberFormat="1" applyFont="1" applyFill="1" applyBorder="1" applyAlignment="1">
      <alignment horizontal="right" vertical="center" shrinkToFit="1"/>
    </xf>
    <xf numFmtId="176" fontId="13" fillId="0" borderId="18" xfId="0" applyNumberFormat="1" applyFont="1" applyFill="1" applyBorder="1" applyAlignment="1">
      <alignment horizontal="right" vertical="center" shrinkToFit="1"/>
    </xf>
    <xf numFmtId="0" fontId="8" fillId="3" borderId="6" xfId="0" applyFont="1" applyFill="1" applyBorder="1" applyAlignment="1">
      <alignment horizontal="center" vertical="center" wrapText="1" shrinkToFit="1"/>
    </xf>
    <xf numFmtId="38" fontId="8" fillId="3" borderId="6" xfId="0" applyNumberFormat="1" applyFont="1" applyFill="1" applyBorder="1" applyAlignment="1">
      <alignment horizontal="right" vertical="center" shrinkToFit="1"/>
    </xf>
    <xf numFmtId="38" fontId="8" fillId="3" borderId="28" xfId="0" applyNumberFormat="1" applyFont="1" applyFill="1" applyBorder="1" applyAlignment="1">
      <alignment horizontal="right" vertical="center" shrinkToFit="1"/>
    </xf>
    <xf numFmtId="38" fontId="8" fillId="3" borderId="27" xfId="0" applyNumberFormat="1" applyFont="1" applyFill="1" applyBorder="1" applyAlignment="1">
      <alignment horizontal="right" vertical="center" shrinkToFit="1"/>
    </xf>
    <xf numFmtId="38" fontId="8" fillId="3" borderId="17" xfId="0" applyNumberFormat="1" applyFont="1" applyFill="1" applyBorder="1" applyAlignment="1">
      <alignment horizontal="right" vertical="center" shrinkToFit="1"/>
    </xf>
    <xf numFmtId="176" fontId="13" fillId="3" borderId="17" xfId="0" applyNumberFormat="1" applyFont="1" applyFill="1" applyBorder="1" applyAlignment="1">
      <alignment horizontal="right" vertical="center" shrinkToFit="1"/>
    </xf>
    <xf numFmtId="38" fontId="8" fillId="0" borderId="47" xfId="0" applyNumberFormat="1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19" fillId="2" borderId="0" xfId="0" applyFont="1" applyFill="1" applyAlignment="1">
      <alignment horizontal="right" vertical="center"/>
    </xf>
    <xf numFmtId="179" fontId="5" fillId="2" borderId="6" xfId="0" applyNumberFormat="1" applyFont="1" applyFill="1" applyBorder="1" applyAlignment="1">
      <alignment vertical="center"/>
    </xf>
    <xf numFmtId="179" fontId="5" fillId="2" borderId="9" xfId="0" applyNumberFormat="1" applyFont="1" applyFill="1" applyBorder="1" applyAlignment="1">
      <alignment vertical="center"/>
    </xf>
    <xf numFmtId="179" fontId="5" fillId="0" borderId="6" xfId="0" applyNumberFormat="1" applyFont="1" applyFill="1" applyBorder="1" applyAlignment="1">
      <alignment vertical="center"/>
    </xf>
    <xf numFmtId="180" fontId="5" fillId="2" borderId="7" xfId="0" applyNumberFormat="1" applyFont="1" applyFill="1" applyBorder="1" applyAlignment="1">
      <alignment vertical="center"/>
    </xf>
    <xf numFmtId="181" fontId="10" fillId="0" borderId="0" xfId="0" applyNumberFormat="1" applyFont="1" applyFill="1" applyAlignment="1">
      <alignment shrinkToFit="1"/>
    </xf>
    <xf numFmtId="181" fontId="12" fillId="3" borderId="18" xfId="0" applyNumberFormat="1" applyFont="1" applyFill="1" applyBorder="1" applyAlignment="1">
      <alignment horizontal="center" vertical="center" shrinkToFit="1"/>
    </xf>
    <xf numFmtId="181" fontId="12" fillId="3" borderId="33" xfId="0" applyNumberFormat="1" applyFont="1" applyFill="1" applyBorder="1" applyAlignment="1">
      <alignment horizontal="center" vertical="center" shrinkToFit="1"/>
    </xf>
    <xf numFmtId="181" fontId="12" fillId="3" borderId="12" xfId="0" applyNumberFormat="1" applyFont="1" applyFill="1" applyBorder="1" applyAlignment="1">
      <alignment horizontal="center" vertical="center" shrinkToFit="1"/>
    </xf>
    <xf numFmtId="181" fontId="8" fillId="3" borderId="12" xfId="0" applyNumberFormat="1" applyFont="1" applyFill="1" applyBorder="1" applyAlignment="1">
      <alignment horizontal="center" vertical="center" shrinkToFit="1"/>
    </xf>
    <xf numFmtId="181" fontId="13" fillId="3" borderId="12" xfId="0" applyNumberFormat="1" applyFont="1" applyFill="1" applyBorder="1" applyAlignment="1">
      <alignment horizontal="center" vertical="center" shrinkToFit="1"/>
    </xf>
    <xf numFmtId="181" fontId="12" fillId="3" borderId="12" xfId="0" applyNumberFormat="1" applyFont="1" applyFill="1" applyBorder="1" applyAlignment="1">
      <alignment shrinkToFit="1"/>
    </xf>
    <xf numFmtId="181" fontId="10" fillId="0" borderId="0" xfId="0" applyNumberFormat="1" applyFont="1" applyFill="1" applyBorder="1" applyAlignment="1">
      <alignment shrinkToFit="1"/>
    </xf>
    <xf numFmtId="181" fontId="12" fillId="3" borderId="17" xfId="0" applyNumberFormat="1" applyFont="1" applyFill="1" applyBorder="1" applyAlignment="1">
      <alignment horizontal="center" vertical="center" shrinkToFit="1"/>
    </xf>
    <xf numFmtId="181" fontId="8" fillId="3" borderId="17" xfId="0" applyNumberFormat="1" applyFont="1" applyFill="1" applyBorder="1" applyAlignment="1">
      <alignment horizontal="center" vertical="center" shrinkToFit="1"/>
    </xf>
    <xf numFmtId="181" fontId="13" fillId="3" borderId="17" xfId="0" applyNumberFormat="1" applyFont="1" applyFill="1" applyBorder="1" applyAlignment="1">
      <alignment horizontal="center" vertical="center" shrinkToFit="1"/>
    </xf>
    <xf numFmtId="181" fontId="12" fillId="3" borderId="17" xfId="0" applyNumberFormat="1" applyFont="1" applyFill="1" applyBorder="1" applyAlignment="1">
      <alignment shrinkToFit="1"/>
    </xf>
    <xf numFmtId="181" fontId="12" fillId="3" borderId="21" xfId="0" applyNumberFormat="1" applyFont="1" applyFill="1" applyBorder="1" applyAlignment="1">
      <alignment horizontal="center" vertical="center" shrinkToFit="1"/>
    </xf>
    <xf numFmtId="181" fontId="13" fillId="3" borderId="21" xfId="0" applyNumberFormat="1" applyFont="1" applyFill="1" applyBorder="1" applyAlignment="1">
      <alignment horizontal="center" vertical="center" shrinkToFit="1"/>
    </xf>
    <xf numFmtId="181" fontId="12" fillId="3" borderId="21" xfId="0" applyNumberFormat="1" applyFont="1" applyFill="1" applyBorder="1" applyAlignment="1">
      <alignment shrinkToFit="1"/>
    </xf>
    <xf numFmtId="181" fontId="8" fillId="0" borderId="29" xfId="0" applyNumberFormat="1" applyFont="1" applyFill="1" applyBorder="1" applyAlignment="1">
      <alignment horizontal="center" vertical="center" shrinkToFit="1"/>
    </xf>
    <xf numFmtId="181" fontId="12" fillId="0" borderId="22" xfId="0" applyNumberFormat="1" applyFont="1" applyFill="1" applyBorder="1" applyAlignment="1">
      <alignment horizontal="center" vertical="center" shrinkToFit="1"/>
    </xf>
    <xf numFmtId="181" fontId="12" fillId="0" borderId="30" xfId="0" applyNumberFormat="1" applyFont="1" applyFill="1" applyBorder="1" applyAlignment="1">
      <alignment horizontal="center" vertical="center" shrinkToFit="1"/>
    </xf>
    <xf numFmtId="181" fontId="12" fillId="0" borderId="29" xfId="0" applyNumberFormat="1" applyFont="1" applyFill="1" applyBorder="1" applyAlignment="1">
      <alignment horizontal="center" vertical="center" shrinkToFit="1"/>
    </xf>
    <xf numFmtId="181" fontId="12" fillId="0" borderId="23" xfId="0" applyNumberFormat="1" applyFont="1" applyFill="1" applyBorder="1" applyAlignment="1">
      <alignment horizontal="center" vertical="center" shrinkToFit="1"/>
    </xf>
    <xf numFmtId="181" fontId="12" fillId="0" borderId="31" xfId="0" applyNumberFormat="1" applyFont="1" applyFill="1" applyBorder="1" applyAlignment="1">
      <alignment horizontal="center" vertical="center" shrinkToFit="1"/>
    </xf>
    <xf numFmtId="181" fontId="8" fillId="0" borderId="9" xfId="0" applyNumberFormat="1" applyFont="1" applyFill="1" applyBorder="1" applyAlignment="1">
      <alignment horizontal="center" vertical="center" shrinkToFit="1"/>
    </xf>
    <xf numFmtId="181" fontId="8" fillId="0" borderId="1" xfId="0" applyNumberFormat="1" applyFont="1" applyFill="1" applyBorder="1" applyAlignment="1">
      <alignment horizontal="center" vertical="center" shrinkToFit="1"/>
    </xf>
    <xf numFmtId="181" fontId="8" fillId="0" borderId="0" xfId="0" applyNumberFormat="1" applyFont="1" applyFill="1" applyBorder="1" applyAlignment="1">
      <alignment horizontal="center" vertical="center" shrinkToFit="1"/>
    </xf>
    <xf numFmtId="181" fontId="13" fillId="3" borderId="17" xfId="0" applyNumberFormat="1" applyFont="1" applyFill="1" applyBorder="1" applyAlignment="1">
      <alignment horizontal="right" vertical="center" shrinkToFit="1"/>
    </xf>
    <xf numFmtId="181" fontId="13" fillId="3" borderId="34" xfId="0" applyNumberFormat="1" applyFont="1" applyFill="1" applyBorder="1" applyAlignment="1">
      <alignment horizontal="right" vertical="center" shrinkToFit="1"/>
    </xf>
    <xf numFmtId="181" fontId="12" fillId="3" borderId="34" xfId="0" applyNumberFormat="1" applyFont="1" applyFill="1" applyBorder="1" applyAlignment="1">
      <alignment shrinkToFit="1"/>
    </xf>
    <xf numFmtId="181" fontId="8" fillId="0" borderId="6" xfId="0" applyNumberFormat="1" applyFont="1" applyFill="1" applyBorder="1" applyAlignment="1">
      <alignment horizontal="center" vertical="center" wrapText="1" shrinkToFit="1"/>
    </xf>
    <xf numFmtId="181" fontId="12" fillId="0" borderId="0" xfId="0" applyNumberFormat="1" applyFont="1" applyFill="1" applyAlignment="1">
      <alignment shrinkToFit="1"/>
    </xf>
    <xf numFmtId="181" fontId="12" fillId="0" borderId="18" xfId="0" applyNumberFormat="1" applyFont="1" applyFill="1" applyBorder="1" applyAlignment="1">
      <alignment vertical="center" shrinkToFit="1"/>
    </xf>
    <xf numFmtId="181" fontId="10" fillId="3" borderId="17" xfId="1" applyNumberFormat="1" applyFont="1" applyFill="1" applyBorder="1" applyAlignment="1"/>
    <xf numFmtId="181" fontId="12" fillId="0" borderId="17" xfId="0" applyNumberFormat="1" applyFont="1" applyFill="1" applyBorder="1" applyAlignment="1">
      <alignment vertical="center" shrinkToFit="1"/>
    </xf>
    <xf numFmtId="181" fontId="8" fillId="0" borderId="25" xfId="0" applyNumberFormat="1" applyFont="1" applyFill="1" applyBorder="1" applyAlignment="1">
      <alignment vertical="center" shrinkToFit="1"/>
    </xf>
    <xf numFmtId="181" fontId="10" fillId="0" borderId="6" xfId="1" applyNumberFormat="1" applyFont="1" applyFill="1" applyBorder="1" applyAlignment="1">
      <alignment horizontal="right"/>
    </xf>
    <xf numFmtId="181" fontId="12" fillId="0" borderId="12" xfId="0" applyNumberFormat="1" applyFont="1" applyFill="1" applyBorder="1" applyAlignment="1">
      <alignment vertical="center" shrinkToFit="1"/>
    </xf>
    <xf numFmtId="181" fontId="8" fillId="0" borderId="26" xfId="0" applyNumberFormat="1" applyFont="1" applyFill="1" applyBorder="1" applyAlignment="1">
      <alignment vertical="center" shrinkToFit="1"/>
    </xf>
    <xf numFmtId="181" fontId="12" fillId="3" borderId="39" xfId="0" applyNumberFormat="1" applyFont="1" applyFill="1" applyBorder="1" applyAlignment="1">
      <alignment shrinkToFit="1"/>
    </xf>
    <xf numFmtId="181" fontId="12" fillId="0" borderId="6" xfId="0" applyNumberFormat="1" applyFont="1" applyFill="1" applyBorder="1" applyAlignment="1">
      <alignment horizontal="center" vertical="center" shrinkToFit="1"/>
    </xf>
    <xf numFmtId="0" fontId="9" fillId="0" borderId="0" xfId="0" applyFont="1" applyFill="1" applyAlignment="1">
      <alignment horizontal="center" shrinkToFit="1"/>
    </xf>
    <xf numFmtId="0" fontId="9" fillId="0" borderId="3" xfId="0" applyFont="1" applyFill="1" applyBorder="1" applyAlignment="1">
      <alignment horizontal="center" shrinkToFit="1"/>
    </xf>
    <xf numFmtId="38" fontId="12" fillId="0" borderId="18" xfId="1" applyNumberFormat="1" applyFont="1" applyFill="1" applyBorder="1" applyAlignment="1">
      <alignment horizontal="right" vertical="center" shrinkToFit="1"/>
    </xf>
    <xf numFmtId="38" fontId="12" fillId="3" borderId="17" xfId="1" applyNumberFormat="1" applyFont="1" applyFill="1" applyBorder="1" applyAlignment="1">
      <alignment horizontal="right" vertical="center" shrinkToFit="1"/>
    </xf>
    <xf numFmtId="38" fontId="12" fillId="0" borderId="17" xfId="1" applyNumberFormat="1" applyFont="1" applyFill="1" applyBorder="1" applyAlignment="1">
      <alignment horizontal="right" vertical="center" shrinkToFit="1"/>
    </xf>
    <xf numFmtId="181" fontId="12" fillId="0" borderId="6" xfId="0" applyNumberFormat="1" applyFont="1" applyFill="1" applyBorder="1" applyAlignment="1">
      <alignment horizontal="center" vertical="center" shrinkToFit="1"/>
    </xf>
    <xf numFmtId="0" fontId="8" fillId="0" borderId="34" xfId="0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center" vertical="center" shrinkToFit="1"/>
    </xf>
    <xf numFmtId="0" fontId="8" fillId="0" borderId="18" xfId="0" applyFont="1" applyFill="1" applyBorder="1" applyAlignment="1">
      <alignment horizontal="center" vertical="center" shrinkToFit="1"/>
    </xf>
    <xf numFmtId="0" fontId="8" fillId="0" borderId="35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left" shrinkToFit="1"/>
    </xf>
    <xf numFmtId="176" fontId="8" fillId="3" borderId="6" xfId="0" applyNumberFormat="1" applyFont="1" applyFill="1" applyBorder="1" applyAlignment="1">
      <alignment horizontal="center" vertical="center"/>
    </xf>
    <xf numFmtId="0" fontId="8" fillId="0" borderId="40" xfId="0" applyFont="1" applyFill="1" applyBorder="1" applyAlignment="1">
      <alignment horizontal="left" vertical="center" wrapText="1" shrinkToFit="1"/>
    </xf>
    <xf numFmtId="0" fontId="8" fillId="0" borderId="41" xfId="0" applyFont="1" applyFill="1" applyBorder="1" applyAlignment="1">
      <alignment horizontal="left" vertical="center" shrinkToFit="1"/>
    </xf>
    <xf numFmtId="0" fontId="8" fillId="0" borderId="42" xfId="0" applyFont="1" applyFill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center" vertical="center" shrinkToFit="1"/>
    </xf>
    <xf numFmtId="0" fontId="8" fillId="0" borderId="17" xfId="0" applyFont="1" applyFill="1" applyBorder="1" applyAlignment="1">
      <alignment horizontal="center" vertical="center" shrinkToFit="1"/>
    </xf>
    <xf numFmtId="176" fontId="8" fillId="0" borderId="9" xfId="0" applyNumberFormat="1" applyFont="1" applyFill="1" applyBorder="1" applyAlignment="1">
      <alignment horizontal="center" vertical="center" shrinkToFit="1"/>
    </xf>
    <xf numFmtId="0" fontId="0" fillId="0" borderId="12" xfId="0" applyFont="1" applyBorder="1" applyAlignment="1">
      <alignment horizontal="center" vertical="center" shrinkToFit="1"/>
    </xf>
    <xf numFmtId="0" fontId="0" fillId="0" borderId="23" xfId="0" applyFont="1" applyBorder="1" applyAlignment="1">
      <alignment horizontal="center" vertical="center" shrinkToFit="1"/>
    </xf>
    <xf numFmtId="0" fontId="8" fillId="0" borderId="4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44" xfId="0" applyFont="1" applyBorder="1" applyAlignment="1">
      <alignment vertical="center"/>
    </xf>
    <xf numFmtId="0" fontId="8" fillId="0" borderId="45" xfId="0" applyFont="1" applyFill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44" xfId="0" applyFont="1" applyBorder="1" applyAlignment="1">
      <alignment vertical="center" wrapText="1"/>
    </xf>
    <xf numFmtId="181" fontId="12" fillId="0" borderId="6" xfId="0" applyNumberFormat="1" applyFont="1" applyFill="1" applyBorder="1" applyAlignment="1">
      <alignment horizontal="center" vertical="center" shrinkToFit="1"/>
    </xf>
    <xf numFmtId="176" fontId="8" fillId="0" borderId="9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0" fontId="8" fillId="0" borderId="10" xfId="0" applyFont="1" applyFill="1" applyBorder="1" applyAlignment="1">
      <alignment horizontal="center" vertical="center" wrapText="1" shrinkToFit="1"/>
    </xf>
    <xf numFmtId="0" fontId="8" fillId="0" borderId="16" xfId="0" applyFont="1" applyFill="1" applyBorder="1" applyAlignment="1">
      <alignment horizontal="center" vertical="center" shrinkToFit="1"/>
    </xf>
    <xf numFmtId="0" fontId="8" fillId="0" borderId="6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shrinkToFit="1"/>
    </xf>
    <xf numFmtId="0" fontId="8" fillId="0" borderId="14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18" fillId="0" borderId="10" xfId="0" applyFont="1" applyFill="1" applyBorder="1" applyAlignment="1">
      <alignment horizontal="center" vertical="center" shrinkToFit="1"/>
    </xf>
    <xf numFmtId="0" fontId="18" fillId="0" borderId="12" xfId="0" applyFont="1" applyFill="1" applyBorder="1" applyAlignment="1">
      <alignment horizontal="center" vertical="center" shrinkToFit="1"/>
    </xf>
    <xf numFmtId="0" fontId="18" fillId="0" borderId="16" xfId="0" applyFont="1" applyFill="1" applyBorder="1" applyAlignment="1">
      <alignment horizontal="center" vertical="center" shrinkToFit="1"/>
    </xf>
    <xf numFmtId="0" fontId="15" fillId="0" borderId="0" xfId="0" applyFont="1" applyFill="1" applyAlignment="1">
      <alignment horizontal="left" vertical="center" wrapText="1"/>
    </xf>
    <xf numFmtId="176" fontId="8" fillId="3" borderId="6" xfId="0" applyNumberFormat="1" applyFont="1" applyFill="1" applyBorder="1" applyAlignment="1">
      <alignment horizontal="center" vertical="center" shrinkToFit="1"/>
    </xf>
    <xf numFmtId="0" fontId="9" fillId="0" borderId="0" xfId="0" applyFont="1" applyFill="1" applyAlignment="1">
      <alignment horizontal="center" shrinkToFit="1"/>
    </xf>
    <xf numFmtId="0" fontId="9" fillId="0" borderId="3" xfId="0" applyFont="1" applyFill="1" applyBorder="1" applyAlignment="1">
      <alignment horizontal="center" shrinkToFit="1"/>
    </xf>
    <xf numFmtId="0" fontId="15" fillId="0" borderId="0" xfId="0" applyFont="1" applyFill="1" applyAlignment="1">
      <alignment horizontal="left" wrapText="1" shrinkToFit="1"/>
    </xf>
    <xf numFmtId="0" fontId="8" fillId="0" borderId="7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left"/>
    </xf>
    <xf numFmtId="0" fontId="26" fillId="2" borderId="0" xfId="0" applyFont="1" applyFill="1" applyAlignment="1"/>
    <xf numFmtId="0" fontId="27" fillId="2" borderId="0" xfId="0" applyFont="1" applyFill="1" applyAlignment="1"/>
    <xf numFmtId="0" fontId="28" fillId="2" borderId="0" xfId="0" applyFont="1" applyFill="1"/>
    <xf numFmtId="0" fontId="29" fillId="2" borderId="0" xfId="0" applyFont="1" applyFill="1"/>
    <xf numFmtId="0" fontId="9" fillId="2" borderId="0" xfId="0" applyFont="1" applyFill="1"/>
    <xf numFmtId="176" fontId="3" fillId="0" borderId="0" xfId="0" applyNumberFormat="1" applyFont="1" applyFill="1" applyBorder="1" applyAlignment="1"/>
    <xf numFmtId="0" fontId="28" fillId="0" borderId="0" xfId="0" applyFont="1" applyFill="1"/>
    <xf numFmtId="176" fontId="3" fillId="0" borderId="3" xfId="0" applyNumberFormat="1" applyFont="1" applyFill="1" applyBorder="1" applyAlignment="1"/>
    <xf numFmtId="176" fontId="3" fillId="0" borderId="3" xfId="0" applyNumberFormat="1" applyFont="1" applyFill="1" applyBorder="1" applyAlignment="1">
      <alignment horizontal="right" vertical="center"/>
    </xf>
    <xf numFmtId="0" fontId="8" fillId="2" borderId="40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/>
    <xf numFmtId="0" fontId="0" fillId="0" borderId="41" xfId="0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38" fontId="30" fillId="4" borderId="9" xfId="1" applyNumberFormat="1" applyFont="1" applyFill="1" applyBorder="1" applyAlignment="1">
      <alignment horizontal="right" vertical="center" shrinkToFit="1"/>
    </xf>
    <xf numFmtId="38" fontId="8" fillId="2" borderId="9" xfId="1" applyNumberFormat="1" applyFont="1" applyFill="1" applyBorder="1" applyAlignment="1">
      <alignment vertical="center" shrinkToFit="1"/>
    </xf>
    <xf numFmtId="38" fontId="13" fillId="2" borderId="9" xfId="1" applyNumberFormat="1" applyFont="1" applyFill="1" applyBorder="1" applyAlignment="1">
      <alignment vertical="center" shrinkToFit="1"/>
    </xf>
    <xf numFmtId="181" fontId="8" fillId="0" borderId="9" xfId="0" applyNumberFormat="1" applyFont="1" applyFill="1" applyBorder="1" applyAlignment="1">
      <alignment horizontal="right" vertical="center" shrinkToFit="1"/>
    </xf>
    <xf numFmtId="0" fontId="8" fillId="2" borderId="0" xfId="0" applyFont="1" applyFill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38" fontId="30" fillId="6" borderId="6" xfId="1" applyNumberFormat="1" applyFont="1" applyFill="1" applyBorder="1" applyAlignment="1">
      <alignment horizontal="right" vertical="center" shrinkToFit="1"/>
    </xf>
    <xf numFmtId="38" fontId="8" fillId="5" borderId="6" xfId="1" applyNumberFormat="1" applyFont="1" applyFill="1" applyBorder="1" applyAlignment="1">
      <alignment vertical="center" shrinkToFit="1"/>
    </xf>
    <xf numFmtId="38" fontId="13" fillId="5" borderId="6" xfId="1" applyNumberFormat="1" applyFont="1" applyFill="1" applyBorder="1" applyAlignment="1">
      <alignment vertical="center" shrinkToFit="1"/>
    </xf>
    <xf numFmtId="181" fontId="8" fillId="5" borderId="6" xfId="0" applyNumberFormat="1" applyFont="1" applyFill="1" applyBorder="1" applyAlignment="1">
      <alignment horizontal="right" vertical="center"/>
    </xf>
    <xf numFmtId="178" fontId="12" fillId="5" borderId="6" xfId="0" applyNumberFormat="1" applyFont="1" applyFill="1" applyBorder="1" applyAlignment="1">
      <alignment horizontal="center" vertical="center" shrinkToFit="1"/>
    </xf>
    <xf numFmtId="178" fontId="12" fillId="5" borderId="6" xfId="0" applyNumberFormat="1" applyFont="1" applyFill="1" applyBorder="1" applyAlignment="1">
      <alignment horizontal="right" vertical="center" shrinkToFit="1"/>
    </xf>
    <xf numFmtId="178" fontId="13" fillId="5" borderId="6" xfId="0" applyNumberFormat="1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/>
    </xf>
    <xf numFmtId="38" fontId="30" fillId="4" borderId="6" xfId="1" applyNumberFormat="1" applyFont="1" applyFill="1" applyBorder="1" applyAlignment="1">
      <alignment horizontal="right" vertical="center" shrinkToFit="1"/>
    </xf>
    <xf numFmtId="38" fontId="8" fillId="2" borderId="6" xfId="1" applyNumberFormat="1" applyFont="1" applyFill="1" applyBorder="1" applyAlignment="1">
      <alignment vertical="center" shrinkToFit="1"/>
    </xf>
    <xf numFmtId="181" fontId="8" fillId="0" borderId="6" xfId="0" applyNumberFormat="1" applyFont="1" applyFill="1" applyBorder="1" applyAlignment="1">
      <alignment horizontal="right" vertical="center" shrinkToFit="1"/>
    </xf>
    <xf numFmtId="0" fontId="8" fillId="2" borderId="11" xfId="0" applyFont="1" applyFill="1" applyBorder="1" applyAlignment="1">
      <alignment horizontal="center" vertical="center"/>
    </xf>
    <xf numFmtId="38" fontId="30" fillId="4" borderId="8" xfId="1" applyNumberFormat="1" applyFont="1" applyFill="1" applyBorder="1" applyAlignment="1">
      <alignment horizontal="right" vertical="center" shrinkToFit="1"/>
    </xf>
    <xf numFmtId="38" fontId="8" fillId="2" borderId="8" xfId="1" applyNumberFormat="1" applyFont="1" applyFill="1" applyBorder="1" applyAlignment="1">
      <alignment vertical="center" shrinkToFit="1"/>
    </xf>
    <xf numFmtId="38" fontId="13" fillId="2" borderId="8" xfId="1" applyNumberFormat="1" applyFont="1" applyFill="1" applyBorder="1" applyAlignment="1">
      <alignment vertical="center" shrinkToFit="1"/>
    </xf>
    <xf numFmtId="181" fontId="8" fillId="0" borderId="8" xfId="0" applyNumberFormat="1" applyFont="1" applyFill="1" applyBorder="1" applyAlignment="1">
      <alignment horizontal="right" vertical="center" shrinkToFit="1"/>
    </xf>
    <xf numFmtId="0" fontId="8" fillId="5" borderId="47" xfId="0" applyFont="1" applyFill="1" applyBorder="1" applyAlignment="1">
      <alignment horizontal="distributed" vertical="center"/>
    </xf>
    <xf numFmtId="38" fontId="30" fillId="6" borderId="9" xfId="1" applyNumberFormat="1" applyFont="1" applyFill="1" applyBorder="1" applyAlignment="1">
      <alignment horizontal="right" vertical="center" shrinkToFit="1"/>
    </xf>
    <xf numFmtId="38" fontId="8" fillId="5" borderId="9" xfId="1" applyNumberFormat="1" applyFont="1" applyFill="1" applyBorder="1" applyAlignment="1">
      <alignment vertical="center" shrinkToFit="1"/>
    </xf>
    <xf numFmtId="38" fontId="13" fillId="5" borderId="9" xfId="1" applyNumberFormat="1" applyFont="1" applyFill="1" applyBorder="1" applyAlignment="1">
      <alignment vertical="center" shrinkToFit="1"/>
    </xf>
    <xf numFmtId="181" fontId="8" fillId="5" borderId="9" xfId="0" applyNumberFormat="1" applyFont="1" applyFill="1" applyBorder="1" applyAlignment="1">
      <alignment horizontal="right" vertical="center"/>
    </xf>
    <xf numFmtId="0" fontId="8" fillId="5" borderId="4" xfId="0" applyFont="1" applyFill="1" applyBorder="1" applyAlignment="1">
      <alignment horizontal="distributed" vertical="center"/>
    </xf>
    <xf numFmtId="0" fontId="8" fillId="2" borderId="48" xfId="0" applyFont="1" applyFill="1" applyBorder="1" applyAlignment="1">
      <alignment horizontal="center" vertical="center"/>
    </xf>
    <xf numFmtId="38" fontId="31" fillId="4" borderId="6" xfId="1" applyNumberFormat="1" applyFont="1" applyFill="1" applyBorder="1" applyAlignment="1">
      <alignment horizontal="right" vertical="center" shrinkToFit="1"/>
    </xf>
    <xf numFmtId="38" fontId="8" fillId="2" borderId="6" xfId="1" applyNumberFormat="1" applyFont="1" applyFill="1" applyBorder="1" applyAlignment="1">
      <alignment horizontal="right" vertical="center" shrinkToFit="1"/>
    </xf>
    <xf numFmtId="38" fontId="13" fillId="2" borderId="6" xfId="1" applyNumberFormat="1" applyFont="1" applyFill="1" applyBorder="1" applyAlignment="1">
      <alignment vertical="center" shrinkToFit="1"/>
    </xf>
    <xf numFmtId="0" fontId="8" fillId="5" borderId="47" xfId="0" applyFont="1" applyFill="1" applyBorder="1" applyAlignment="1">
      <alignment horizontal="center" vertical="center"/>
    </xf>
    <xf numFmtId="38" fontId="31" fillId="6" borderId="6" xfId="1" applyNumberFormat="1" applyFont="1" applyFill="1" applyBorder="1" applyAlignment="1">
      <alignment horizontal="right" vertical="center" shrinkToFit="1"/>
    </xf>
    <xf numFmtId="178" fontId="12" fillId="0" borderId="49" xfId="0" applyNumberFormat="1" applyFont="1" applyFill="1" applyBorder="1" applyAlignment="1">
      <alignment horizontal="center" vertical="center" shrinkToFit="1"/>
    </xf>
    <xf numFmtId="38" fontId="8" fillId="2" borderId="6" xfId="1" applyNumberFormat="1" applyFont="1" applyFill="1" applyBorder="1" applyAlignment="1">
      <alignment horizontal="center" vertical="center" shrinkToFit="1"/>
    </xf>
    <xf numFmtId="38" fontId="8" fillId="2" borderId="1" xfId="1" applyNumberFormat="1" applyFont="1" applyFill="1" applyBorder="1" applyAlignment="1">
      <alignment vertical="center" shrinkToFit="1"/>
    </xf>
    <xf numFmtId="38" fontId="8" fillId="2" borderId="0" xfId="1" applyNumberFormat="1" applyFont="1" applyFill="1" applyBorder="1" applyAlignment="1">
      <alignment vertical="center" shrinkToFit="1"/>
    </xf>
    <xf numFmtId="38" fontId="8" fillId="5" borderId="6" xfId="1" applyNumberFormat="1" applyFont="1" applyFill="1" applyBorder="1" applyAlignment="1">
      <alignment horizontal="center" vertical="center" shrinkToFit="1"/>
    </xf>
    <xf numFmtId="178" fontId="12" fillId="0" borderId="1" xfId="0" applyNumberFormat="1" applyFont="1" applyFill="1" applyBorder="1" applyAlignment="1">
      <alignment horizontal="center" vertical="center" shrinkToFit="1"/>
    </xf>
    <xf numFmtId="178" fontId="12" fillId="0" borderId="0" xfId="0" applyNumberFormat="1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177" fontId="18" fillId="2" borderId="0" xfId="0" applyNumberFormat="1" applyFont="1" applyFill="1" applyBorder="1" applyAlignment="1">
      <alignment horizontal="center" shrinkToFit="1"/>
    </xf>
    <xf numFmtId="0" fontId="8" fillId="2" borderId="0" xfId="0" applyFont="1" applyFill="1" applyBorder="1" applyAlignment="1">
      <alignment horizontal="distributed"/>
    </xf>
    <xf numFmtId="0" fontId="8" fillId="2" borderId="0" xfId="0" applyFont="1" applyFill="1" applyBorder="1" applyAlignment="1">
      <alignment horizontal="center" shrinkToFit="1"/>
    </xf>
    <xf numFmtId="0" fontId="8" fillId="2" borderId="0" xfId="0" applyFont="1" applyFill="1" applyBorder="1" applyAlignment="1">
      <alignment shrinkToFit="1"/>
    </xf>
    <xf numFmtId="0" fontId="8" fillId="2" borderId="0" xfId="0" applyFont="1" applyFill="1" applyAlignment="1">
      <alignment shrinkToFit="1"/>
    </xf>
    <xf numFmtId="0" fontId="8" fillId="2" borderId="6" xfId="0" applyFont="1" applyFill="1" applyBorder="1" applyAlignment="1">
      <alignment horizontal="center" vertical="center" shrinkToFi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vertical="center"/>
    </xf>
    <xf numFmtId="181" fontId="8" fillId="0" borderId="50" xfId="0" applyNumberFormat="1" applyFont="1" applyFill="1" applyBorder="1" applyAlignment="1">
      <alignment horizontal="right" vertical="center" shrinkToFit="1"/>
    </xf>
    <xf numFmtId="181" fontId="8" fillId="5" borderId="7" xfId="0" applyNumberFormat="1" applyFont="1" applyFill="1" applyBorder="1" applyAlignment="1">
      <alignment horizontal="right" vertical="center"/>
    </xf>
    <xf numFmtId="181" fontId="8" fillId="0" borderId="7" xfId="0" applyNumberFormat="1" applyFont="1" applyFill="1" applyBorder="1" applyAlignment="1">
      <alignment horizontal="right" vertical="center" shrinkToFit="1"/>
    </xf>
    <xf numFmtId="181" fontId="8" fillId="5" borderId="50" xfId="0" applyNumberFormat="1" applyFont="1" applyFill="1" applyBorder="1" applyAlignment="1">
      <alignment horizontal="right" vertical="center"/>
    </xf>
    <xf numFmtId="0" fontId="8" fillId="5" borderId="49" xfId="0" applyFont="1" applyFill="1" applyBorder="1" applyAlignment="1">
      <alignment horizontal="distributed" vertical="center"/>
    </xf>
    <xf numFmtId="0" fontId="8" fillId="2" borderId="6" xfId="0" applyFont="1" applyFill="1" applyBorder="1" applyAlignment="1">
      <alignment horizontal="center" vertical="center"/>
    </xf>
    <xf numFmtId="38" fontId="8" fillId="5" borderId="10" xfId="1" applyNumberFormat="1" applyFont="1" applyFill="1" applyBorder="1" applyAlignment="1">
      <alignment vertical="center" shrinkToFit="1"/>
    </xf>
    <xf numFmtId="181" fontId="12" fillId="0" borderId="4" xfId="0" applyNumberFormat="1" applyFont="1" applyFill="1" applyBorder="1" applyAlignment="1">
      <alignment horizontal="center" vertical="center" shrinkToFit="1"/>
    </xf>
    <xf numFmtId="38" fontId="8" fillId="5" borderId="4" xfId="1" applyNumberFormat="1" applyFont="1" applyFill="1" applyBorder="1" applyAlignment="1">
      <alignment horizontal="center" vertical="center" shrinkToFit="1"/>
    </xf>
    <xf numFmtId="38" fontId="8" fillId="5" borderId="5" xfId="1" applyNumberFormat="1" applyFont="1" applyFill="1" applyBorder="1" applyAlignment="1">
      <alignment horizontal="center" vertical="center" shrinkToFit="1"/>
    </xf>
    <xf numFmtId="38" fontId="8" fillId="5" borderId="7" xfId="1" applyNumberFormat="1" applyFont="1" applyFill="1" applyBorder="1" applyAlignment="1">
      <alignment horizontal="center" vertical="center" shrinkToFit="1"/>
    </xf>
    <xf numFmtId="181" fontId="12" fillId="0" borderId="9" xfId="0" applyNumberFormat="1" applyFont="1" applyFill="1" applyBorder="1" applyAlignment="1">
      <alignment horizontal="center" vertical="center" shrinkToFit="1"/>
    </xf>
    <xf numFmtId="0" fontId="8" fillId="2" borderId="10" xfId="0" applyFont="1" applyFill="1" applyBorder="1" applyAlignment="1">
      <alignment horizontal="center" vertical="center" shrinkToFit="1"/>
    </xf>
    <xf numFmtId="38" fontId="30" fillId="4" borderId="51" xfId="1" applyNumberFormat="1" applyFont="1" applyFill="1" applyBorder="1" applyAlignment="1">
      <alignment horizontal="right" vertical="center" shrinkToFit="1"/>
    </xf>
    <xf numFmtId="0" fontId="8" fillId="5" borderId="6" xfId="0" applyFont="1" applyFill="1" applyBorder="1" applyAlignment="1">
      <alignment horizontal="center" vertical="center"/>
    </xf>
    <xf numFmtId="181" fontId="8" fillId="0" borderId="32" xfId="0" applyNumberFormat="1" applyFont="1" applyFill="1" applyBorder="1" applyAlignment="1">
      <alignment horizontal="right" vertical="center" shrinkToFit="1"/>
    </xf>
    <xf numFmtId="0" fontId="8" fillId="5" borderId="9" xfId="0" applyFont="1" applyFill="1" applyBorder="1" applyAlignment="1">
      <alignment horizontal="distributed" vertical="center"/>
    </xf>
    <xf numFmtId="0" fontId="8" fillId="5" borderId="6" xfId="0" applyFont="1" applyFill="1" applyBorder="1" applyAlignment="1">
      <alignment horizontal="distributed" vertical="center"/>
    </xf>
    <xf numFmtId="38" fontId="8" fillId="2" borderId="49" xfId="1" applyNumberFormat="1" applyFont="1" applyFill="1" applyBorder="1" applyAlignment="1">
      <alignment vertical="center" shrinkToFit="1"/>
    </xf>
    <xf numFmtId="49" fontId="12" fillId="0" borderId="0" xfId="0" applyNumberFormat="1" applyFont="1" applyFill="1" applyBorder="1" applyAlignment="1">
      <alignment horizontal="left" shrinkToFit="1"/>
    </xf>
    <xf numFmtId="0" fontId="32" fillId="2" borderId="0" xfId="0" applyFont="1" applyFill="1" applyBorder="1" applyAlignment="1">
      <alignment horizontal="distributed"/>
    </xf>
    <xf numFmtId="177" fontId="33" fillId="2" borderId="0" xfId="0" applyNumberFormat="1" applyFont="1" applyFill="1" applyBorder="1" applyAlignment="1">
      <alignment horizontal="center"/>
    </xf>
    <xf numFmtId="0" fontId="29" fillId="2" borderId="0" xfId="0" applyFont="1" applyFill="1" applyAlignment="1"/>
    <xf numFmtId="176" fontId="3" fillId="0" borderId="0" xfId="0" applyNumberFormat="1" applyFont="1" applyFill="1" applyBorder="1" applyAlignment="1">
      <alignment horizontal="right"/>
    </xf>
    <xf numFmtId="176" fontId="3" fillId="0" borderId="3" xfId="0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horizontal="center" vertical="center"/>
    </xf>
    <xf numFmtId="38" fontId="13" fillId="2" borderId="7" xfId="1" applyNumberFormat="1" applyFont="1" applyFill="1" applyBorder="1" applyAlignment="1">
      <alignment vertical="center" shrinkToFit="1"/>
    </xf>
    <xf numFmtId="38" fontId="13" fillId="5" borderId="7" xfId="1" applyNumberFormat="1" applyFont="1" applyFill="1" applyBorder="1" applyAlignment="1">
      <alignment vertical="center" shrinkToFit="1"/>
    </xf>
    <xf numFmtId="181" fontId="8" fillId="5" borderId="7" xfId="0" applyNumberFormat="1" applyFont="1" applyFill="1" applyBorder="1" applyAlignment="1">
      <alignment horizontal="right" vertical="center" shrinkToFit="1"/>
    </xf>
    <xf numFmtId="0" fontId="8" fillId="2" borderId="0" xfId="0" applyFont="1" applyFill="1" applyBorder="1" applyAlignment="1">
      <alignment vertical="center" shrinkToFit="1"/>
    </xf>
    <xf numFmtId="178" fontId="13" fillId="5" borderId="7" xfId="0" applyNumberFormat="1" applyFont="1" applyFill="1" applyBorder="1" applyAlignment="1">
      <alignment horizontal="center" vertical="center" shrinkToFit="1"/>
    </xf>
    <xf numFmtId="38" fontId="30" fillId="5" borderId="6" xfId="1" applyNumberFormat="1" applyFont="1" applyFill="1" applyBorder="1" applyAlignment="1">
      <alignment horizontal="right" vertical="center" shrinkToFit="1"/>
    </xf>
    <xf numFmtId="38" fontId="13" fillId="2" borderId="32" xfId="1" applyNumberFormat="1" applyFont="1" applyFill="1" applyBorder="1" applyAlignment="1">
      <alignment vertical="center" shrinkToFit="1"/>
    </xf>
    <xf numFmtId="38" fontId="30" fillId="5" borderId="9" xfId="1" applyNumberFormat="1" applyFont="1" applyFill="1" applyBorder="1" applyAlignment="1">
      <alignment horizontal="right" vertical="center" shrinkToFit="1"/>
    </xf>
    <xf numFmtId="38" fontId="13" fillId="5" borderId="50" xfId="1" applyNumberFormat="1" applyFont="1" applyFill="1" applyBorder="1" applyAlignment="1">
      <alignment vertical="center" shrinkToFit="1"/>
    </xf>
    <xf numFmtId="181" fontId="8" fillId="5" borderId="50" xfId="0" applyNumberFormat="1" applyFont="1" applyFill="1" applyBorder="1" applyAlignment="1">
      <alignment horizontal="right" vertical="center" shrinkToFit="1"/>
    </xf>
    <xf numFmtId="0" fontId="8" fillId="2" borderId="0" xfId="0" applyFont="1" applyFill="1" applyAlignment="1">
      <alignment vertical="center" shrinkToFit="1"/>
    </xf>
    <xf numFmtId="0" fontId="3" fillId="0" borderId="0" xfId="0" applyFont="1"/>
    <xf numFmtId="176" fontId="12" fillId="0" borderId="0" xfId="0" applyNumberFormat="1" applyFont="1" applyFill="1" applyBorder="1" applyAlignment="1">
      <alignment horizontal="right"/>
    </xf>
    <xf numFmtId="0" fontId="28" fillId="2" borderId="0" xfId="0" applyFont="1" applyFill="1" applyAlignment="1">
      <alignment vertical="center"/>
    </xf>
    <xf numFmtId="49" fontId="12" fillId="0" borderId="0" xfId="0" applyNumberFormat="1" applyFont="1" applyFill="1" applyBorder="1" applyAlignment="1">
      <alignment horizontal="center" shrinkToFit="1"/>
    </xf>
    <xf numFmtId="0" fontId="8" fillId="0" borderId="0" xfId="0" applyFont="1" applyFill="1"/>
    <xf numFmtId="176" fontId="12" fillId="0" borderId="0" xfId="0" applyNumberFormat="1" applyFont="1" applyFill="1" applyBorder="1" applyAlignment="1"/>
    <xf numFmtId="176" fontId="12" fillId="0" borderId="3" xfId="0" applyNumberFormat="1" applyFont="1" applyFill="1" applyBorder="1" applyAlignment="1"/>
    <xf numFmtId="176" fontId="12" fillId="0" borderId="3" xfId="0" applyNumberFormat="1" applyFont="1" applyFill="1" applyBorder="1" applyAlignment="1">
      <alignment horizontal="right"/>
    </xf>
    <xf numFmtId="181" fontId="8" fillId="5" borderId="7" xfId="0" applyNumberFormat="1" applyFont="1" applyFill="1" applyBorder="1" applyAlignment="1">
      <alignment vertical="center" shrinkToFit="1"/>
    </xf>
    <xf numFmtId="0" fontId="8" fillId="5" borderId="9" xfId="0" applyFont="1" applyFill="1" applyBorder="1" applyAlignment="1">
      <alignment horizontal="center" vertical="center"/>
    </xf>
    <xf numFmtId="181" fontId="8" fillId="5" borderId="50" xfId="0" applyNumberFormat="1" applyFont="1" applyFill="1" applyBorder="1" applyAlignment="1">
      <alignment vertical="center" shrinkToFit="1"/>
    </xf>
    <xf numFmtId="177" fontId="18" fillId="2" borderId="0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28" fillId="2" borderId="0" xfId="0" applyFont="1" applyFill="1" applyBorder="1" applyAlignment="1">
      <alignment horizontal="center"/>
    </xf>
    <xf numFmtId="49" fontId="12" fillId="2" borderId="0" xfId="0" applyNumberFormat="1" applyFont="1" applyFill="1" applyBorder="1" applyAlignment="1">
      <alignment horizontal="center"/>
    </xf>
    <xf numFmtId="0" fontId="28" fillId="2" borderId="0" xfId="0" applyFont="1" applyFill="1" applyBorder="1"/>
    <xf numFmtId="0" fontId="27" fillId="0" borderId="0" xfId="3" applyFont="1" applyFill="1" applyAlignment="1"/>
    <xf numFmtId="0" fontId="28" fillId="0" borderId="0" xfId="3" applyFont="1" applyFill="1" applyBorder="1"/>
    <xf numFmtId="0" fontId="28" fillId="0" borderId="0" xfId="3" applyFont="1" applyFill="1" applyBorder="1" applyAlignment="1">
      <alignment shrinkToFit="1"/>
    </xf>
    <xf numFmtId="0" fontId="28" fillId="0" borderId="0" xfId="3" applyFont="1" applyFill="1"/>
    <xf numFmtId="0" fontId="34" fillId="0" borderId="0" xfId="3" applyFont="1" applyFill="1" applyAlignment="1">
      <alignment horizontal="right"/>
    </xf>
    <xf numFmtId="0" fontId="28" fillId="0" borderId="0" xfId="3" applyFont="1" applyFill="1" applyAlignment="1">
      <alignment shrinkToFit="1"/>
    </xf>
    <xf numFmtId="0" fontId="29" fillId="0" borderId="52" xfId="3" applyFont="1" applyFill="1" applyBorder="1" applyAlignment="1">
      <alignment horizontal="left" vertical="top" wrapText="1"/>
    </xf>
    <xf numFmtId="0" fontId="29" fillId="0" borderId="53" xfId="3" applyFont="1" applyFill="1" applyBorder="1" applyAlignment="1">
      <alignment horizontal="center" vertical="center"/>
    </xf>
    <xf numFmtId="0" fontId="29" fillId="0" borderId="54" xfId="3" applyFont="1" applyFill="1" applyBorder="1" applyAlignment="1">
      <alignment horizontal="center" vertical="center"/>
    </xf>
    <xf numFmtId="0" fontId="29" fillId="0" borderId="55" xfId="3" applyFont="1" applyFill="1" applyBorder="1" applyAlignment="1">
      <alignment horizontal="center" vertical="center"/>
    </xf>
    <xf numFmtId="0" fontId="35" fillId="0" borderId="56" xfId="3" applyFont="1" applyFill="1" applyBorder="1" applyAlignment="1">
      <alignment horizontal="center" vertical="center"/>
    </xf>
    <xf numFmtId="0" fontId="29" fillId="0" borderId="6" xfId="3" applyFont="1" applyFill="1" applyBorder="1" applyAlignment="1">
      <alignment horizontal="center" vertical="center" wrapText="1"/>
    </xf>
    <xf numFmtId="0" fontId="29" fillId="0" borderId="10" xfId="3" applyFont="1" applyFill="1" applyBorder="1" applyAlignment="1">
      <alignment horizontal="center" vertical="center" shrinkToFit="1"/>
    </xf>
    <xf numFmtId="0" fontId="29" fillId="0" borderId="0" xfId="3" applyFont="1" applyFill="1"/>
    <xf numFmtId="0" fontId="29" fillId="0" borderId="57" xfId="3" applyFont="1" applyFill="1" applyBorder="1" applyAlignment="1">
      <alignment horizontal="left" vertical="top"/>
    </xf>
    <xf numFmtId="0" fontId="29" fillId="0" borderId="58" xfId="3" applyFont="1" applyFill="1" applyBorder="1" applyAlignment="1">
      <alignment horizontal="center" vertical="center"/>
    </xf>
    <xf numFmtId="0" fontId="29" fillId="0" borderId="59" xfId="3" applyFont="1" applyFill="1" applyBorder="1" applyAlignment="1">
      <alignment horizontal="center" vertical="center"/>
    </xf>
    <xf numFmtId="0" fontId="29" fillId="0" borderId="32" xfId="3" applyFont="1" applyFill="1" applyBorder="1" applyAlignment="1">
      <alignment horizontal="center" vertical="center"/>
    </xf>
    <xf numFmtId="0" fontId="29" fillId="0" borderId="11" xfId="3" applyFont="1" applyFill="1" applyBorder="1" applyAlignment="1">
      <alignment horizontal="center" vertical="center"/>
    </xf>
    <xf numFmtId="0" fontId="29" fillId="0" borderId="60" xfId="3" applyFont="1" applyFill="1" applyBorder="1" applyAlignment="1">
      <alignment horizontal="center" vertical="center"/>
    </xf>
    <xf numFmtId="0" fontId="29" fillId="0" borderId="61" xfId="3" applyFont="1" applyFill="1" applyBorder="1" applyAlignment="1">
      <alignment horizontal="center" vertical="center"/>
    </xf>
    <xf numFmtId="0" fontId="29" fillId="0" borderId="62" xfId="3" applyFont="1" applyFill="1" applyBorder="1" applyAlignment="1">
      <alignment horizontal="center" vertical="center"/>
    </xf>
    <xf numFmtId="0" fontId="29" fillId="0" borderId="63" xfId="3" applyFont="1" applyFill="1" applyBorder="1" applyAlignment="1">
      <alignment horizontal="center" vertical="center"/>
    </xf>
    <xf numFmtId="0" fontId="35" fillId="0" borderId="64" xfId="3" applyFont="1" applyFill="1" applyBorder="1" applyAlignment="1">
      <alignment horizontal="center" vertical="center"/>
    </xf>
    <xf numFmtId="0" fontId="29" fillId="0" borderId="8" xfId="3" applyFont="1" applyFill="1" applyBorder="1" applyAlignment="1">
      <alignment horizontal="center" vertical="center"/>
    </xf>
    <xf numFmtId="0" fontId="29" fillId="0" borderId="16" xfId="3" applyFont="1" applyFill="1" applyBorder="1" applyAlignment="1">
      <alignment horizontal="center" vertical="center" shrinkToFit="1"/>
    </xf>
    <xf numFmtId="0" fontId="29" fillId="0" borderId="65" xfId="3" applyFont="1" applyFill="1" applyBorder="1" applyAlignment="1">
      <alignment horizontal="center" shrinkToFit="1"/>
    </xf>
    <xf numFmtId="176" fontId="36" fillId="0" borderId="66" xfId="2" applyNumberFormat="1" applyFont="1" applyFill="1" applyBorder="1" applyAlignment="1">
      <alignment horizontal="right"/>
    </xf>
    <xf numFmtId="176" fontId="36" fillId="0" borderId="67" xfId="2" applyNumberFormat="1" applyFont="1" applyFill="1" applyBorder="1" applyAlignment="1">
      <alignment horizontal="right"/>
    </xf>
    <xf numFmtId="176" fontId="36" fillId="0" borderId="14" xfId="2" applyNumberFormat="1" applyFont="1" applyFill="1" applyBorder="1" applyAlignment="1">
      <alignment horizontal="right"/>
    </xf>
    <xf numFmtId="176" fontId="36" fillId="0" borderId="1" xfId="2" applyNumberFormat="1" applyFont="1" applyFill="1" applyBorder="1" applyAlignment="1">
      <alignment horizontal="right"/>
    </xf>
    <xf numFmtId="176" fontId="36" fillId="0" borderId="68" xfId="2" applyNumberFormat="1" applyFont="1" applyFill="1" applyBorder="1" applyAlignment="1">
      <alignment horizontal="right"/>
    </xf>
    <xf numFmtId="176" fontId="36" fillId="0" borderId="69" xfId="2" applyNumberFormat="1" applyFont="1" applyFill="1" applyBorder="1" applyAlignment="1">
      <alignment horizontal="right"/>
    </xf>
    <xf numFmtId="176" fontId="36" fillId="0" borderId="70" xfId="2" applyNumberFormat="1" applyFont="1" applyFill="1" applyBorder="1" applyAlignment="1">
      <alignment horizontal="right"/>
    </xf>
    <xf numFmtId="176" fontId="29" fillId="0" borderId="71" xfId="3" applyNumberFormat="1" applyFont="1" applyFill="1" applyBorder="1" applyAlignment="1"/>
    <xf numFmtId="176" fontId="37" fillId="0" borderId="1" xfId="3" applyNumberFormat="1" applyFont="1" applyFill="1" applyBorder="1" applyAlignment="1"/>
    <xf numFmtId="182" fontId="29" fillId="0" borderId="18" xfId="3" applyNumberFormat="1" applyFont="1" applyFill="1" applyBorder="1" applyAlignment="1">
      <alignment shrinkToFit="1"/>
    </xf>
    <xf numFmtId="0" fontId="29" fillId="0" borderId="12" xfId="3" applyFont="1" applyFill="1" applyBorder="1" applyAlignment="1">
      <alignment horizontal="center" shrinkToFit="1"/>
    </xf>
    <xf numFmtId="0" fontId="29" fillId="0" borderId="72" xfId="3" applyFont="1" applyFill="1" applyBorder="1" applyAlignment="1">
      <alignment horizontal="center" shrinkToFit="1"/>
    </xf>
    <xf numFmtId="176" fontId="36" fillId="0" borderId="73" xfId="2" applyNumberFormat="1" applyFont="1" applyFill="1" applyBorder="1" applyAlignment="1">
      <alignment horizontal="right"/>
    </xf>
    <xf numFmtId="176" fontId="36" fillId="0" borderId="74" xfId="2" applyNumberFormat="1" applyFont="1" applyFill="1" applyBorder="1" applyAlignment="1">
      <alignment horizontal="right"/>
    </xf>
    <xf numFmtId="176" fontId="36" fillId="0" borderId="20" xfId="2" applyNumberFormat="1" applyFont="1" applyFill="1" applyBorder="1" applyAlignment="1">
      <alignment horizontal="right"/>
    </xf>
    <xf numFmtId="176" fontId="36" fillId="0" borderId="75" xfId="2" applyNumberFormat="1" applyFont="1" applyFill="1" applyBorder="1" applyAlignment="1">
      <alignment horizontal="right"/>
    </xf>
    <xf numFmtId="176" fontId="36" fillId="0" borderId="76" xfId="2" applyNumberFormat="1" applyFont="1" applyFill="1" applyBorder="1" applyAlignment="1">
      <alignment horizontal="right"/>
    </xf>
    <xf numFmtId="176" fontId="36" fillId="0" borderId="77" xfId="2" applyNumberFormat="1" applyFont="1" applyFill="1" applyBorder="1" applyAlignment="1">
      <alignment horizontal="right"/>
    </xf>
    <xf numFmtId="176" fontId="36" fillId="0" borderId="78" xfId="2" applyNumberFormat="1" applyFont="1" applyFill="1" applyBorder="1" applyAlignment="1">
      <alignment horizontal="right"/>
    </xf>
    <xf numFmtId="176" fontId="29" fillId="0" borderId="79" xfId="3" applyNumberFormat="1" applyFont="1" applyFill="1" applyBorder="1" applyAlignment="1"/>
    <xf numFmtId="176" fontId="37" fillId="0" borderId="75" xfId="3" applyNumberFormat="1" applyFont="1" applyFill="1" applyBorder="1" applyAlignment="1"/>
    <xf numFmtId="182" fontId="29" fillId="0" borderId="17" xfId="3" applyNumberFormat="1" applyFont="1" applyFill="1" applyBorder="1" applyAlignment="1">
      <alignment shrinkToFit="1"/>
    </xf>
    <xf numFmtId="0" fontId="29" fillId="0" borderId="17" xfId="3" applyFont="1" applyFill="1" applyBorder="1" applyAlignment="1">
      <alignment horizontal="center" shrinkToFit="1"/>
    </xf>
    <xf numFmtId="176" fontId="29" fillId="0" borderId="71" xfId="3" applyNumberFormat="1" applyFont="1" applyFill="1" applyBorder="1" applyAlignment="1">
      <alignment shrinkToFit="1"/>
    </xf>
    <xf numFmtId="176" fontId="37" fillId="0" borderId="1" xfId="3" applyNumberFormat="1" applyFont="1" applyFill="1" applyBorder="1" applyAlignment="1">
      <alignment shrinkToFit="1"/>
    </xf>
    <xf numFmtId="176" fontId="36" fillId="0" borderId="80" xfId="2" applyNumberFormat="1" applyFont="1" applyFill="1" applyBorder="1" applyAlignment="1">
      <alignment horizontal="right"/>
    </xf>
    <xf numFmtId="176" fontId="36" fillId="0" borderId="81" xfId="2" applyNumberFormat="1" applyFont="1" applyFill="1" applyBorder="1" applyAlignment="1">
      <alignment horizontal="right"/>
    </xf>
    <xf numFmtId="176" fontId="36" fillId="0" borderId="33" xfId="2" applyNumberFormat="1" applyFont="1" applyFill="1" applyBorder="1" applyAlignment="1">
      <alignment horizontal="right"/>
    </xf>
    <xf numFmtId="176" fontId="36" fillId="0" borderId="44" xfId="2" applyNumberFormat="1" applyFont="1" applyFill="1" applyBorder="1" applyAlignment="1">
      <alignment horizontal="right"/>
    </xf>
    <xf numFmtId="176" fontId="36" fillId="0" borderId="82" xfId="2" applyNumberFormat="1" applyFont="1" applyFill="1" applyBorder="1" applyAlignment="1">
      <alignment horizontal="right"/>
    </xf>
    <xf numFmtId="176" fontId="36" fillId="0" borderId="83" xfId="2" applyNumberFormat="1" applyFont="1" applyFill="1" applyBorder="1" applyAlignment="1">
      <alignment horizontal="right"/>
    </xf>
    <xf numFmtId="176" fontId="36" fillId="0" borderId="84" xfId="2" applyNumberFormat="1" applyFont="1" applyFill="1" applyBorder="1" applyAlignment="1">
      <alignment horizontal="right"/>
    </xf>
    <xf numFmtId="176" fontId="29" fillId="0" borderId="85" xfId="3" applyNumberFormat="1" applyFont="1" applyFill="1" applyBorder="1" applyAlignment="1"/>
    <xf numFmtId="176" fontId="37" fillId="0" borderId="44" xfId="3" applyNumberFormat="1" applyFont="1" applyFill="1" applyBorder="1" applyAlignment="1"/>
    <xf numFmtId="0" fontId="29" fillId="0" borderId="86" xfId="3" applyFont="1" applyFill="1" applyBorder="1" applyAlignment="1">
      <alignment horizontal="center" shrinkToFit="1"/>
    </xf>
    <xf numFmtId="176" fontId="36" fillId="0" borderId="87" xfId="2" applyNumberFormat="1" applyFont="1" applyFill="1" applyBorder="1" applyAlignment="1">
      <alignment horizontal="right"/>
    </xf>
    <xf numFmtId="176" fontId="36" fillId="0" borderId="88" xfId="2" applyNumberFormat="1" applyFont="1" applyFill="1" applyBorder="1" applyAlignment="1">
      <alignment horizontal="right"/>
    </xf>
    <xf numFmtId="176" fontId="36" fillId="0" borderId="50" xfId="2" applyNumberFormat="1" applyFont="1" applyFill="1" applyBorder="1" applyAlignment="1">
      <alignment horizontal="right"/>
    </xf>
    <xf numFmtId="176" fontId="36" fillId="0" borderId="47" xfId="2" applyNumberFormat="1" applyFont="1" applyFill="1" applyBorder="1" applyAlignment="1">
      <alignment horizontal="right"/>
    </xf>
    <xf numFmtId="176" fontId="36" fillId="0" borderId="89" xfId="2" applyNumberFormat="1" applyFont="1" applyFill="1" applyBorder="1" applyAlignment="1">
      <alignment horizontal="right"/>
    </xf>
    <xf numFmtId="176" fontId="36" fillId="0" borderId="90" xfId="2" applyNumberFormat="1" applyFont="1" applyFill="1" applyBorder="1" applyAlignment="1">
      <alignment horizontal="right"/>
    </xf>
    <xf numFmtId="176" fontId="36" fillId="0" borderId="91" xfId="2" applyNumberFormat="1" applyFont="1" applyFill="1" applyBorder="1" applyAlignment="1">
      <alignment horizontal="right"/>
    </xf>
    <xf numFmtId="176" fontId="29" fillId="0" borderId="92" xfId="3" applyNumberFormat="1" applyFont="1" applyFill="1" applyBorder="1" applyAlignment="1"/>
    <xf numFmtId="176" fontId="37" fillId="0" borderId="47" xfId="3" applyNumberFormat="1" applyFont="1" applyFill="1" applyBorder="1" applyAlignment="1"/>
    <xf numFmtId="182" fontId="29" fillId="0" borderId="93" xfId="3" applyNumberFormat="1" applyFont="1" applyFill="1" applyBorder="1" applyAlignment="1">
      <alignment shrinkToFit="1"/>
    </xf>
    <xf numFmtId="0" fontId="29" fillId="0" borderId="9" xfId="3" applyFont="1" applyFill="1" applyBorder="1" applyAlignment="1">
      <alignment horizontal="center" shrinkToFit="1"/>
    </xf>
    <xf numFmtId="0" fontId="29" fillId="7" borderId="28" xfId="3" applyFont="1" applyFill="1" applyBorder="1" applyAlignment="1">
      <alignment horizontal="center" shrinkToFit="1"/>
    </xf>
    <xf numFmtId="176" fontId="38" fillId="7" borderId="94" xfId="2" applyNumberFormat="1" applyFont="1" applyFill="1" applyBorder="1" applyAlignment="1">
      <alignment horizontal="right"/>
    </xf>
    <xf numFmtId="176" fontId="38" fillId="7" borderId="95" xfId="2" applyNumberFormat="1" applyFont="1" applyFill="1" applyBorder="1" applyAlignment="1">
      <alignment horizontal="right"/>
    </xf>
    <xf numFmtId="176" fontId="38" fillId="7" borderId="7" xfId="2" applyNumberFormat="1" applyFont="1" applyFill="1" applyBorder="1" applyAlignment="1">
      <alignment horizontal="right"/>
    </xf>
    <xf numFmtId="176" fontId="38" fillId="7" borderId="4" xfId="2" applyNumberFormat="1" applyFont="1" applyFill="1" applyBorder="1" applyAlignment="1">
      <alignment horizontal="right"/>
    </xf>
    <xf numFmtId="176" fontId="38" fillId="7" borderId="96" xfId="2" applyNumberFormat="1" applyFont="1" applyFill="1" applyBorder="1" applyAlignment="1">
      <alignment horizontal="right"/>
    </xf>
    <xf numFmtId="176" fontId="38" fillId="7" borderId="97" xfId="2" applyNumberFormat="1" applyFont="1" applyFill="1" applyBorder="1" applyAlignment="1">
      <alignment horizontal="right"/>
    </xf>
    <xf numFmtId="176" fontId="38" fillId="7" borderId="98" xfId="2" applyNumberFormat="1" applyFont="1" applyFill="1" applyBorder="1" applyAlignment="1">
      <alignment horizontal="right"/>
    </xf>
    <xf numFmtId="176" fontId="29" fillId="7" borderId="92" xfId="3" applyNumberFormat="1" applyFont="1" applyFill="1" applyBorder="1" applyAlignment="1">
      <alignment shrinkToFit="1"/>
    </xf>
    <xf numFmtId="176" fontId="37" fillId="7" borderId="47" xfId="3" applyNumberFormat="1" applyFont="1" applyFill="1" applyBorder="1" applyAlignment="1">
      <alignment shrinkToFit="1"/>
    </xf>
    <xf numFmtId="182" fontId="29" fillId="7" borderId="6" xfId="3" applyNumberFormat="1" applyFont="1" applyFill="1" applyBorder="1" applyAlignment="1">
      <alignment shrinkToFit="1"/>
    </xf>
    <xf numFmtId="0" fontId="29" fillId="7" borderId="6" xfId="3" applyFont="1" applyFill="1" applyBorder="1" applyAlignment="1">
      <alignment horizontal="center" shrinkToFit="1"/>
    </xf>
    <xf numFmtId="0" fontId="29" fillId="0" borderId="99" xfId="3" applyFont="1" applyFill="1" applyBorder="1" applyAlignment="1">
      <alignment horizontal="center" shrinkToFit="1"/>
    </xf>
    <xf numFmtId="176" fontId="36" fillId="0" borderId="100" xfId="2" applyNumberFormat="1" applyFont="1" applyFill="1" applyBorder="1" applyAlignment="1">
      <alignment horizontal="right"/>
    </xf>
    <xf numFmtId="176" fontId="36" fillId="0" borderId="101" xfId="2" applyNumberFormat="1" applyFont="1" applyFill="1" applyBorder="1" applyAlignment="1">
      <alignment horizontal="right"/>
    </xf>
    <xf numFmtId="176" fontId="36" fillId="0" borderId="13" xfId="2" applyNumberFormat="1" applyFont="1" applyFill="1" applyBorder="1" applyAlignment="1">
      <alignment horizontal="right"/>
    </xf>
    <xf numFmtId="176" fontId="36" fillId="0" borderId="49" xfId="2" applyNumberFormat="1" applyFont="1" applyFill="1" applyBorder="1" applyAlignment="1">
      <alignment horizontal="right"/>
    </xf>
    <xf numFmtId="176" fontId="36" fillId="0" borderId="102" xfId="2" applyNumberFormat="1" applyFont="1" applyFill="1" applyBorder="1" applyAlignment="1">
      <alignment horizontal="right"/>
    </xf>
    <xf numFmtId="176" fontId="36" fillId="0" borderId="103" xfId="2" applyNumberFormat="1" applyFont="1" applyFill="1" applyBorder="1" applyAlignment="1">
      <alignment horizontal="right"/>
    </xf>
    <xf numFmtId="176" fontId="36" fillId="0" borderId="104" xfId="2" applyNumberFormat="1" applyFont="1" applyFill="1" applyBorder="1" applyAlignment="1">
      <alignment horizontal="right"/>
    </xf>
    <xf numFmtId="182" fontId="29" fillId="0" borderId="105" xfId="3" applyNumberFormat="1" applyFont="1" applyFill="1" applyBorder="1" applyAlignment="1">
      <alignment shrinkToFit="1"/>
    </xf>
    <xf numFmtId="0" fontId="29" fillId="0" borderId="10" xfId="3" applyFont="1" applyFill="1" applyBorder="1" applyAlignment="1">
      <alignment horizontal="center" shrinkToFit="1"/>
    </xf>
    <xf numFmtId="176" fontId="38" fillId="7" borderId="39" xfId="2" applyNumberFormat="1" applyFont="1" applyFill="1" applyBorder="1" applyAlignment="1">
      <alignment horizontal="right" shrinkToFit="1"/>
    </xf>
    <xf numFmtId="176" fontId="39" fillId="7" borderId="4" xfId="2" applyNumberFormat="1" applyFont="1" applyFill="1" applyBorder="1" applyAlignment="1">
      <alignment horizontal="right" shrinkToFit="1"/>
    </xf>
    <xf numFmtId="0" fontId="29" fillId="7" borderId="99" xfId="3" applyFont="1" applyFill="1" applyBorder="1" applyAlignment="1">
      <alignment horizontal="center" shrinkToFit="1"/>
    </xf>
    <xf numFmtId="176" fontId="38" fillId="7" borderId="100" xfId="2" applyNumberFormat="1" applyFont="1" applyFill="1" applyBorder="1" applyAlignment="1">
      <alignment horizontal="right"/>
    </xf>
    <xf numFmtId="176" fontId="38" fillId="7" borderId="101" xfId="2" applyNumberFormat="1" applyFont="1" applyFill="1" applyBorder="1" applyAlignment="1">
      <alignment horizontal="right"/>
    </xf>
    <xf numFmtId="176" fontId="38" fillId="7" borderId="13" xfId="2" applyNumberFormat="1" applyFont="1" applyFill="1" applyBorder="1" applyAlignment="1">
      <alignment horizontal="right"/>
    </xf>
    <xf numFmtId="176" fontId="38" fillId="7" borderId="49" xfId="2" applyNumberFormat="1" applyFont="1" applyFill="1" applyBorder="1" applyAlignment="1">
      <alignment horizontal="right"/>
    </xf>
    <xf numFmtId="176" fontId="38" fillId="7" borderId="102" xfId="2" applyNumberFormat="1" applyFont="1" applyFill="1" applyBorder="1" applyAlignment="1">
      <alignment horizontal="right"/>
    </xf>
    <xf numFmtId="176" fontId="38" fillId="7" borderId="103" xfId="2" applyNumberFormat="1" applyFont="1" applyFill="1" applyBorder="1" applyAlignment="1">
      <alignment horizontal="right"/>
    </xf>
    <xf numFmtId="176" fontId="38" fillId="7" borderId="104" xfId="2" applyNumberFormat="1" applyFont="1" applyFill="1" applyBorder="1" applyAlignment="1">
      <alignment horizontal="right"/>
    </xf>
    <xf numFmtId="176" fontId="29" fillId="7" borderId="71" xfId="3" applyNumberFormat="1" applyFont="1" applyFill="1" applyBorder="1" applyAlignment="1">
      <alignment shrinkToFit="1"/>
    </xf>
    <xf numFmtId="176" fontId="37" fillId="7" borderId="1" xfId="3" applyNumberFormat="1" applyFont="1" applyFill="1" applyBorder="1" applyAlignment="1">
      <alignment shrinkToFit="1"/>
    </xf>
    <xf numFmtId="182" fontId="29" fillId="7" borderId="10" xfId="3" applyNumberFormat="1" applyFont="1" applyFill="1" applyBorder="1" applyAlignment="1">
      <alignment shrinkToFit="1"/>
    </xf>
    <xf numFmtId="0" fontId="29" fillId="7" borderId="10" xfId="3" applyFont="1" applyFill="1" applyBorder="1" applyAlignment="1">
      <alignment horizontal="center" wrapText="1" shrinkToFit="1"/>
    </xf>
    <xf numFmtId="0" fontId="29" fillId="0" borderId="106" xfId="3" applyFont="1" applyFill="1" applyBorder="1" applyAlignment="1">
      <alignment horizontal="center" shrinkToFit="1"/>
    </xf>
    <xf numFmtId="176" fontId="29" fillId="0" borderId="107" xfId="5" applyNumberFormat="1" applyFont="1" applyFill="1" applyBorder="1" applyAlignment="1">
      <alignment shrinkToFit="1"/>
    </xf>
    <xf numFmtId="176" fontId="29" fillId="0" borderId="108" xfId="5" applyNumberFormat="1" applyFont="1" applyFill="1" applyBorder="1" applyAlignment="1">
      <alignment shrinkToFit="1"/>
    </xf>
    <xf numFmtId="176" fontId="29" fillId="0" borderId="109" xfId="5" applyNumberFormat="1" applyFont="1" applyFill="1" applyBorder="1" applyAlignment="1">
      <alignment shrinkToFit="1"/>
    </xf>
    <xf numFmtId="176" fontId="29" fillId="0" borderId="110" xfId="5" applyNumberFormat="1" applyFont="1" applyFill="1" applyBorder="1" applyAlignment="1">
      <alignment shrinkToFit="1"/>
    </xf>
    <xf numFmtId="176" fontId="29" fillId="0" borderId="111" xfId="5" applyNumberFormat="1" applyFont="1" applyFill="1" applyBorder="1" applyAlignment="1">
      <alignment shrinkToFit="1"/>
    </xf>
    <xf numFmtId="176" fontId="29" fillId="0" borderId="112" xfId="5" applyNumberFormat="1" applyFont="1" applyFill="1" applyBorder="1" applyAlignment="1">
      <alignment shrinkToFit="1"/>
    </xf>
    <xf numFmtId="176" fontId="29" fillId="0" borderId="113" xfId="5" applyNumberFormat="1" applyFont="1" applyFill="1" applyBorder="1" applyAlignment="1">
      <alignment shrinkToFit="1"/>
    </xf>
    <xf numFmtId="176" fontId="29" fillId="0" borderId="114" xfId="5" applyNumberFormat="1" applyFont="1" applyFill="1" applyBorder="1" applyAlignment="1">
      <alignment shrinkToFit="1"/>
    </xf>
    <xf numFmtId="176" fontId="29" fillId="0" borderId="115" xfId="3" applyNumberFormat="1" applyFont="1" applyFill="1" applyBorder="1" applyAlignment="1">
      <alignment shrinkToFit="1"/>
    </xf>
    <xf numFmtId="176" fontId="37" fillId="0" borderId="116" xfId="3" applyNumberFormat="1" applyFont="1" applyFill="1" applyBorder="1" applyAlignment="1">
      <alignment shrinkToFit="1"/>
    </xf>
    <xf numFmtId="182" fontId="29" fillId="0" borderId="51" xfId="3" applyNumberFormat="1" applyFont="1" applyFill="1" applyBorder="1" applyAlignment="1">
      <alignment shrinkToFit="1"/>
    </xf>
    <xf numFmtId="0" fontId="29" fillId="0" borderId="51" xfId="3" applyFont="1" applyFill="1" applyBorder="1" applyAlignment="1">
      <alignment horizontal="center" shrinkToFit="1"/>
    </xf>
    <xf numFmtId="0" fontId="29" fillId="0" borderId="0" xfId="3" applyFont="1" applyFill="1" applyBorder="1" applyAlignment="1">
      <alignment horizontal="center" shrinkToFit="1"/>
    </xf>
    <xf numFmtId="176" fontId="29" fillId="0" borderId="0" xfId="5" applyNumberFormat="1" applyFont="1" applyFill="1" applyBorder="1" applyAlignment="1">
      <alignment shrinkToFit="1"/>
    </xf>
    <xf numFmtId="176" fontId="29" fillId="0" borderId="54" xfId="5" applyNumberFormat="1" applyFont="1" applyFill="1" applyBorder="1" applyAlignment="1">
      <alignment shrinkToFit="1"/>
    </xf>
    <xf numFmtId="176" fontId="29" fillId="0" borderId="0" xfId="3" applyNumberFormat="1" applyFont="1" applyFill="1" applyBorder="1" applyAlignment="1">
      <alignment shrinkToFit="1"/>
    </xf>
    <xf numFmtId="176" fontId="37" fillId="0" borderId="0" xfId="3" applyNumberFormat="1" applyFont="1" applyFill="1" applyBorder="1" applyAlignment="1">
      <alignment shrinkToFit="1"/>
    </xf>
    <xf numFmtId="182" fontId="29" fillId="0" borderId="0" xfId="3" applyNumberFormat="1" applyFont="1" applyFill="1" applyBorder="1" applyAlignment="1">
      <alignment shrinkToFit="1"/>
    </xf>
    <xf numFmtId="0" fontId="12" fillId="0" borderId="0" xfId="3" applyFont="1"/>
    <xf numFmtId="0" fontId="32" fillId="0" borderId="0" xfId="3" applyFont="1" applyFill="1"/>
    <xf numFmtId="0" fontId="32" fillId="0" borderId="0" xfId="3" applyFont="1" applyFill="1" applyBorder="1"/>
    <xf numFmtId="0" fontId="12" fillId="0" borderId="0" xfId="3" applyFont="1" applyFill="1"/>
    <xf numFmtId="0" fontId="40" fillId="0" borderId="0" xfId="3" applyFont="1" applyFill="1" applyAlignment="1">
      <alignment horizontal="left" vertical="center"/>
    </xf>
    <xf numFmtId="0" fontId="27" fillId="0" borderId="0" xfId="3" applyFont="1" applyFill="1" applyAlignment="1">
      <alignment horizontal="left" vertical="center"/>
    </xf>
    <xf numFmtId="0" fontId="5" fillId="0" borderId="0" xfId="3" applyFont="1" applyFill="1" applyAlignment="1">
      <alignment vertical="center"/>
    </xf>
    <xf numFmtId="0" fontId="41" fillId="0" borderId="0" xfId="3" applyFont="1" applyFill="1" applyAlignment="1">
      <alignment vertical="center"/>
    </xf>
    <xf numFmtId="0" fontId="42" fillId="0" borderId="0" xfId="3" applyFont="1" applyFill="1" applyAlignment="1">
      <alignment vertical="center"/>
    </xf>
    <xf numFmtId="0" fontId="43" fillId="0" borderId="0" xfId="3" applyFont="1" applyFill="1" applyAlignment="1">
      <alignment horizontal="center" vertical="center"/>
    </xf>
    <xf numFmtId="0" fontId="34" fillId="0" borderId="8" xfId="3" applyFont="1" applyFill="1" applyBorder="1" applyAlignment="1">
      <alignment horizontal="center" vertical="center" shrinkToFit="1"/>
    </xf>
    <xf numFmtId="0" fontId="34" fillId="0" borderId="11" xfId="3" applyFont="1" applyFill="1" applyBorder="1" applyAlignment="1">
      <alignment horizontal="center" vertical="center" shrinkToFit="1"/>
    </xf>
    <xf numFmtId="0" fontId="34" fillId="0" borderId="59" xfId="3" applyFont="1" applyFill="1" applyBorder="1" applyAlignment="1">
      <alignment horizontal="center" vertical="center" shrinkToFit="1"/>
    </xf>
    <xf numFmtId="0" fontId="44" fillId="0" borderId="59" xfId="3" applyFont="1" applyFill="1" applyBorder="1" applyAlignment="1">
      <alignment horizontal="center" vertical="center" wrapText="1"/>
    </xf>
    <xf numFmtId="0" fontId="34" fillId="0" borderId="117" xfId="3" applyFont="1" applyFill="1" applyBorder="1" applyAlignment="1">
      <alignment horizontal="center" vertical="center"/>
    </xf>
    <xf numFmtId="0" fontId="32" fillId="0" borderId="0" xfId="3" applyFont="1" applyFill="1" applyAlignment="1">
      <alignment vertical="center"/>
    </xf>
    <xf numFmtId="0" fontId="5" fillId="0" borderId="12" xfId="3" applyFont="1" applyFill="1" applyBorder="1" applyAlignment="1">
      <alignment horizontal="center" vertical="center" shrinkToFit="1"/>
    </xf>
    <xf numFmtId="176" fontId="5" fillId="0" borderId="1" xfId="3" applyNumberFormat="1" applyFont="1" applyFill="1" applyBorder="1" applyAlignment="1">
      <alignment vertical="center"/>
    </xf>
    <xf numFmtId="176" fontId="5" fillId="0" borderId="67" xfId="3" applyNumberFormat="1" applyFont="1" applyFill="1" applyBorder="1" applyAlignment="1">
      <alignment vertical="center"/>
    </xf>
    <xf numFmtId="176" fontId="5" fillId="0" borderId="118" xfId="3" applyNumberFormat="1" applyFont="1" applyFill="1" applyBorder="1" applyAlignment="1">
      <alignment vertical="center"/>
    </xf>
    <xf numFmtId="0" fontId="19" fillId="0" borderId="0" xfId="3" applyFont="1" applyFill="1" applyAlignment="1">
      <alignment vertical="center"/>
    </xf>
    <xf numFmtId="0" fontId="5" fillId="0" borderId="17" xfId="3" applyFont="1" applyFill="1" applyBorder="1" applyAlignment="1">
      <alignment horizontal="center" vertical="center" shrinkToFit="1"/>
    </xf>
    <xf numFmtId="176" fontId="5" fillId="0" borderId="75" xfId="3" applyNumberFormat="1" applyFont="1" applyFill="1" applyBorder="1" applyAlignment="1">
      <alignment vertical="center"/>
    </xf>
    <xf numFmtId="176" fontId="5" fillId="0" borderId="74" xfId="3" applyNumberFormat="1" applyFont="1" applyFill="1" applyBorder="1" applyAlignment="1">
      <alignment vertical="center"/>
    </xf>
    <xf numFmtId="176" fontId="5" fillId="0" borderId="119" xfId="3" applyNumberFormat="1" applyFont="1" applyFill="1" applyBorder="1" applyAlignment="1">
      <alignment vertical="center"/>
    </xf>
    <xf numFmtId="183" fontId="34" fillId="0" borderId="6" xfId="3" applyNumberFormat="1" applyFont="1" applyFill="1" applyBorder="1" applyAlignment="1">
      <alignment horizontal="center" vertical="center" shrinkToFit="1"/>
    </xf>
    <xf numFmtId="176" fontId="34" fillId="0" borderId="4" xfId="3" applyNumberFormat="1" applyFont="1" applyFill="1" applyBorder="1" applyAlignment="1">
      <alignment vertical="center"/>
    </xf>
    <xf numFmtId="176" fontId="34" fillId="0" borderId="95" xfId="3" applyNumberFormat="1" applyFont="1" applyFill="1" applyBorder="1" applyAlignment="1">
      <alignment vertical="center"/>
    </xf>
    <xf numFmtId="176" fontId="34" fillId="0" borderId="120" xfId="3" applyNumberFormat="1" applyFont="1" applyFill="1" applyBorder="1" applyAlignment="1">
      <alignment vertical="center"/>
    </xf>
    <xf numFmtId="183" fontId="32" fillId="0" borderId="0" xfId="3" applyNumberFormat="1" applyFont="1" applyFill="1" applyAlignment="1">
      <alignment vertical="center"/>
    </xf>
    <xf numFmtId="0" fontId="5" fillId="0" borderId="10" xfId="3" applyFont="1" applyFill="1" applyBorder="1" applyAlignment="1">
      <alignment horizontal="center" vertical="center" shrinkToFit="1"/>
    </xf>
    <xf numFmtId="176" fontId="5" fillId="0" borderId="49" xfId="3" applyNumberFormat="1" applyFont="1" applyFill="1" applyBorder="1" applyAlignment="1">
      <alignment vertical="center"/>
    </xf>
    <xf numFmtId="176" fontId="5" fillId="0" borderId="101" xfId="3" applyNumberFormat="1" applyFont="1" applyFill="1" applyBorder="1" applyAlignment="1">
      <alignment vertical="center"/>
    </xf>
    <xf numFmtId="176" fontId="5" fillId="0" borderId="121" xfId="3" applyNumberFormat="1" applyFont="1" applyFill="1" applyBorder="1" applyAlignment="1">
      <alignment vertical="center"/>
    </xf>
    <xf numFmtId="176" fontId="5" fillId="0" borderId="122" xfId="3" applyNumberFormat="1" applyFont="1" applyFill="1" applyBorder="1" applyAlignment="1">
      <alignment vertical="center"/>
    </xf>
    <xf numFmtId="183" fontId="5" fillId="0" borderId="123" xfId="3" applyNumberFormat="1" applyFont="1" applyFill="1" applyBorder="1" applyAlignment="1">
      <alignment vertical="center"/>
    </xf>
    <xf numFmtId="183" fontId="5" fillId="0" borderId="74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 shrinkToFit="1"/>
    </xf>
    <xf numFmtId="176" fontId="5" fillId="0" borderId="47" xfId="3" applyNumberFormat="1" applyFont="1" applyFill="1" applyBorder="1" applyAlignment="1">
      <alignment vertical="center"/>
    </xf>
    <xf numFmtId="176" fontId="5" fillId="0" borderId="88" xfId="3" applyNumberFormat="1" applyFont="1" applyFill="1" applyBorder="1" applyAlignment="1">
      <alignment vertical="center"/>
    </xf>
    <xf numFmtId="176" fontId="5" fillId="0" borderId="124" xfId="3" applyNumberFormat="1" applyFont="1" applyFill="1" applyBorder="1" applyAlignment="1">
      <alignment vertical="center"/>
    </xf>
    <xf numFmtId="0" fontId="28" fillId="0" borderId="10" xfId="3" applyFont="1" applyFill="1" applyBorder="1" applyAlignment="1">
      <alignment horizontal="center" vertical="center" wrapText="1" shrinkToFit="1"/>
    </xf>
    <xf numFmtId="176" fontId="34" fillId="0" borderId="49" xfId="3" applyNumberFormat="1" applyFont="1" applyFill="1" applyBorder="1" applyAlignment="1">
      <alignment vertical="center"/>
    </xf>
    <xf numFmtId="176" fontId="34" fillId="0" borderId="101" xfId="3" applyNumberFormat="1" applyFont="1" applyFill="1" applyBorder="1" applyAlignment="1">
      <alignment vertical="center"/>
    </xf>
    <xf numFmtId="176" fontId="34" fillId="0" borderId="121" xfId="3" applyNumberFormat="1" applyFont="1" applyFill="1" applyBorder="1" applyAlignment="1">
      <alignment vertical="center"/>
    </xf>
    <xf numFmtId="183" fontId="34" fillId="0" borderId="51" xfId="3" applyNumberFormat="1" applyFont="1" applyFill="1" applyBorder="1" applyAlignment="1">
      <alignment horizontal="center" vertical="center" shrinkToFit="1"/>
    </xf>
    <xf numFmtId="183" fontId="34" fillId="0" borderId="48" xfId="3" applyNumberFormat="1" applyFont="1" applyFill="1" applyBorder="1" applyAlignment="1">
      <alignment vertical="center" shrinkToFit="1"/>
    </xf>
    <xf numFmtId="183" fontId="34" fillId="0" borderId="125" xfId="3" applyNumberFormat="1" applyFont="1" applyFill="1" applyBorder="1" applyAlignment="1">
      <alignment vertical="center" shrinkToFit="1"/>
    </xf>
    <xf numFmtId="183" fontId="34" fillId="0" borderId="126" xfId="3" applyNumberFormat="1" applyFont="1" applyFill="1" applyBorder="1" applyAlignment="1">
      <alignment vertical="center" shrinkToFit="1"/>
    </xf>
    <xf numFmtId="183" fontId="34" fillId="0" borderId="127" xfId="3" applyNumberFormat="1" applyFont="1" applyFill="1" applyBorder="1" applyAlignment="1">
      <alignment vertical="center"/>
    </xf>
    <xf numFmtId="0" fontId="42" fillId="0" borderId="0" xfId="3" applyFont="1" applyFill="1" applyBorder="1" applyAlignment="1">
      <alignment vertical="center"/>
    </xf>
    <xf numFmtId="0" fontId="5" fillId="0" borderId="0" xfId="3" applyFont="1"/>
    <xf numFmtId="176" fontId="28" fillId="0" borderId="0" xfId="3" applyNumberFormat="1" applyFont="1" applyFill="1"/>
    <xf numFmtId="0" fontId="5" fillId="0" borderId="0" xfId="3" applyFont="1" applyFill="1"/>
    <xf numFmtId="0" fontId="45" fillId="0" borderId="0" xfId="3" applyFont="1" applyFill="1" applyAlignment="1">
      <alignment horizontal="left" vertical="center"/>
    </xf>
    <xf numFmtId="0" fontId="46" fillId="0" borderId="0" xfId="3" applyFont="1" applyFill="1" applyAlignment="1">
      <alignment vertical="center"/>
    </xf>
    <xf numFmtId="0" fontId="46" fillId="0" borderId="0" xfId="3" applyFont="1" applyFill="1" applyAlignment="1">
      <alignment horizontal="center" vertical="center"/>
    </xf>
    <xf numFmtId="38" fontId="46" fillId="0" borderId="0" xfId="1" applyFont="1" applyFill="1" applyAlignment="1">
      <alignment vertical="center"/>
    </xf>
    <xf numFmtId="0" fontId="46" fillId="0" borderId="0" xfId="3" applyFont="1" applyFill="1" applyAlignment="1">
      <alignment horizontal="right" vertical="center"/>
    </xf>
    <xf numFmtId="0" fontId="16" fillId="0" borderId="0" xfId="3" applyFont="1" applyFill="1" applyAlignment="1">
      <alignment horizontal="left" vertical="center"/>
    </xf>
    <xf numFmtId="0" fontId="16" fillId="0" borderId="0" xfId="3" applyFont="1" applyFill="1" applyAlignment="1">
      <alignment vertical="center"/>
    </xf>
    <xf numFmtId="0" fontId="16" fillId="0" borderId="0" xfId="3" applyFont="1" applyFill="1" applyAlignment="1">
      <alignment horizontal="center" vertical="center"/>
    </xf>
    <xf numFmtId="38" fontId="16" fillId="0" borderId="0" xfId="1" applyFont="1" applyFill="1" applyAlignment="1">
      <alignment vertical="center"/>
    </xf>
    <xf numFmtId="0" fontId="16" fillId="0" borderId="0" xfId="3" applyFont="1" applyFill="1" applyAlignment="1">
      <alignment horizontal="right" vertical="center"/>
    </xf>
    <xf numFmtId="0" fontId="1" fillId="0" borderId="0" xfId="3" applyFont="1" applyFill="1" applyAlignment="1">
      <alignment horizontal="left" vertical="center"/>
    </xf>
    <xf numFmtId="0" fontId="47" fillId="0" borderId="0" xfId="3" applyFont="1" applyFill="1" applyBorder="1" applyAlignment="1">
      <alignment vertical="center"/>
    </xf>
    <xf numFmtId="0" fontId="47" fillId="0" borderId="0" xfId="3" applyFont="1" applyFill="1" applyAlignment="1">
      <alignment horizontal="center" vertical="center"/>
    </xf>
    <xf numFmtId="0" fontId="47" fillId="0" borderId="0" xfId="3" applyFont="1" applyFill="1" applyAlignment="1">
      <alignment vertical="center"/>
    </xf>
    <xf numFmtId="38" fontId="47" fillId="0" borderId="0" xfId="1" applyFont="1" applyFill="1" applyAlignment="1">
      <alignment vertical="center"/>
    </xf>
    <xf numFmtId="38" fontId="47" fillId="0" borderId="3" xfId="1" applyFont="1" applyFill="1" applyBorder="1" applyAlignment="1">
      <alignment vertical="center"/>
    </xf>
    <xf numFmtId="0" fontId="47" fillId="0" borderId="0" xfId="3" applyFont="1" applyFill="1" applyBorder="1" applyAlignment="1">
      <alignment horizontal="right" vertical="center"/>
    </xf>
    <xf numFmtId="0" fontId="47" fillId="0" borderId="49" xfId="3" applyFont="1" applyFill="1" applyBorder="1" applyAlignment="1">
      <alignment horizontal="center" vertical="center"/>
    </xf>
    <xf numFmtId="184" fontId="47" fillId="0" borderId="10" xfId="3" applyNumberFormat="1" applyFont="1" applyFill="1" applyBorder="1" applyAlignment="1">
      <alignment horizontal="center" vertical="center"/>
    </xf>
    <xf numFmtId="184" fontId="47" fillId="0" borderId="2" xfId="3" applyNumberFormat="1" applyFont="1" applyFill="1" applyBorder="1" applyAlignment="1">
      <alignment horizontal="center" vertical="center"/>
    </xf>
    <xf numFmtId="184" fontId="47" fillId="0" borderId="13" xfId="3" applyNumberFormat="1" applyFont="1" applyFill="1" applyBorder="1" applyAlignment="1">
      <alignment horizontal="center" vertical="center"/>
    </xf>
    <xf numFmtId="38" fontId="47" fillId="0" borderId="2" xfId="1" applyFont="1" applyFill="1" applyBorder="1" applyAlignment="1">
      <alignment horizontal="center" vertical="center"/>
    </xf>
    <xf numFmtId="38" fontId="47" fillId="0" borderId="10" xfId="1" applyFont="1" applyFill="1" applyBorder="1" applyAlignment="1">
      <alignment horizontal="center" vertical="center"/>
    </xf>
    <xf numFmtId="176" fontId="47" fillId="0" borderId="6" xfId="1" applyNumberFormat="1" applyFont="1" applyFill="1" applyBorder="1" applyAlignment="1" applyProtection="1">
      <alignment horizontal="center" vertical="center"/>
    </xf>
    <xf numFmtId="0" fontId="47" fillId="0" borderId="122" xfId="6" applyFont="1" applyFill="1" applyBorder="1" applyAlignment="1" applyProtection="1">
      <alignment horizontal="left" vertical="center" shrinkToFit="1"/>
      <protection locked="0"/>
    </xf>
    <xf numFmtId="0" fontId="47" fillId="0" borderId="128" xfId="6" applyFont="1" applyFill="1" applyBorder="1" applyAlignment="1" applyProtection="1">
      <alignment horizontal="center" vertical="center" shrinkToFit="1"/>
      <protection locked="0"/>
    </xf>
    <xf numFmtId="0" fontId="47" fillId="0" borderId="129" xfId="6" applyFont="1" applyFill="1" applyBorder="1" applyAlignment="1" applyProtection="1">
      <alignment horizontal="center" vertical="center" shrinkToFit="1"/>
      <protection locked="0"/>
    </xf>
    <xf numFmtId="0" fontId="47" fillId="0" borderId="105" xfId="6" applyNumberFormat="1" applyFont="1" applyFill="1" applyBorder="1" applyAlignment="1" applyProtection="1">
      <alignment vertical="center"/>
      <protection locked="0"/>
    </xf>
    <xf numFmtId="38" fontId="47" fillId="0" borderId="105" xfId="1" applyFont="1" applyFill="1" applyBorder="1" applyAlignment="1" applyProtection="1">
      <alignment vertical="center"/>
      <protection locked="0"/>
    </xf>
    <xf numFmtId="38" fontId="47" fillId="0" borderId="105" xfId="1" applyFont="1" applyFill="1" applyBorder="1" applyAlignment="1" applyProtection="1">
      <alignment vertical="center"/>
    </xf>
    <xf numFmtId="185" fontId="47" fillId="0" borderId="130" xfId="7" applyNumberFormat="1" applyFont="1" applyFill="1" applyBorder="1" applyAlignment="1">
      <alignment horizontal="right" vertical="center"/>
    </xf>
    <xf numFmtId="186" fontId="47" fillId="0" borderId="0" xfId="3" applyNumberFormat="1" applyFont="1" applyFill="1" applyAlignment="1">
      <alignment vertical="center"/>
    </xf>
    <xf numFmtId="187" fontId="47" fillId="0" borderId="0" xfId="3" applyNumberFormat="1" applyFont="1" applyFill="1" applyAlignment="1">
      <alignment vertical="center"/>
    </xf>
    <xf numFmtId="0" fontId="47" fillId="0" borderId="131" xfId="6" applyFont="1" applyFill="1" applyBorder="1" applyAlignment="1" applyProtection="1">
      <alignment horizontal="left" vertical="center" shrinkToFit="1"/>
      <protection locked="0"/>
    </xf>
    <xf numFmtId="0" fontId="47" fillId="0" borderId="74" xfId="6" applyFont="1" applyFill="1" applyBorder="1" applyAlignment="1" applyProtection="1">
      <alignment horizontal="center" vertical="center" shrinkToFit="1"/>
      <protection locked="0"/>
    </xf>
    <xf numFmtId="0" fontId="47" fillId="0" borderId="76" xfId="6" applyFont="1" applyFill="1" applyBorder="1" applyAlignment="1" applyProtection="1">
      <alignment horizontal="center" vertical="center" shrinkToFit="1"/>
      <protection locked="0"/>
    </xf>
    <xf numFmtId="0" fontId="47" fillId="0" borderId="17" xfId="6" applyFont="1" applyFill="1" applyBorder="1" applyAlignment="1" applyProtection="1">
      <alignment vertical="center"/>
      <protection locked="0"/>
    </xf>
    <xf numFmtId="38" fontId="47" fillId="0" borderId="17" xfId="1" applyFont="1" applyFill="1" applyBorder="1" applyAlignment="1" applyProtection="1">
      <alignment vertical="center"/>
      <protection locked="0"/>
    </xf>
    <xf numFmtId="38" fontId="47" fillId="0" borderId="17" xfId="1" applyFont="1" applyFill="1" applyBorder="1" applyAlignment="1" applyProtection="1">
      <alignment vertical="center"/>
    </xf>
    <xf numFmtId="185" fontId="47" fillId="0" borderId="20" xfId="7" applyNumberFormat="1" applyFont="1" applyFill="1" applyBorder="1" applyAlignment="1">
      <alignment horizontal="right" vertical="center"/>
    </xf>
    <xf numFmtId="0" fontId="47" fillId="0" borderId="132" xfId="6" applyFont="1" applyFill="1" applyBorder="1" applyAlignment="1" applyProtection="1">
      <alignment horizontal="left" vertical="center" shrinkToFit="1"/>
      <protection locked="0"/>
    </xf>
    <xf numFmtId="0" fontId="47" fillId="0" borderId="133" xfId="6" applyFont="1" applyFill="1" applyBorder="1" applyAlignment="1" applyProtection="1">
      <alignment horizontal="center" vertical="center" shrinkToFit="1"/>
      <protection locked="0"/>
    </xf>
    <xf numFmtId="0" fontId="47" fillId="0" borderId="134" xfId="6" applyFont="1" applyFill="1" applyBorder="1" applyAlignment="1" applyProtection="1">
      <alignment horizontal="center" vertical="center" shrinkToFit="1"/>
      <protection locked="0"/>
    </xf>
    <xf numFmtId="0" fontId="47" fillId="0" borderId="34" xfId="6" applyFont="1" applyFill="1" applyBorder="1" applyAlignment="1" applyProtection="1">
      <alignment vertical="center"/>
      <protection locked="0"/>
    </xf>
    <xf numFmtId="38" fontId="47" fillId="0" borderId="34" xfId="1" applyFont="1" applyFill="1" applyBorder="1" applyAlignment="1" applyProtection="1">
      <alignment vertical="center"/>
      <protection locked="0"/>
    </xf>
    <xf numFmtId="38" fontId="47" fillId="0" borderId="34" xfId="1" applyFont="1" applyFill="1" applyBorder="1" applyAlignment="1" applyProtection="1">
      <alignment vertical="center"/>
    </xf>
    <xf numFmtId="185" fontId="47" fillId="0" borderId="135" xfId="7" applyNumberFormat="1" applyFont="1" applyFill="1" applyBorder="1" applyAlignment="1">
      <alignment horizontal="right" vertical="center"/>
    </xf>
    <xf numFmtId="0" fontId="47" fillId="0" borderId="105" xfId="6" applyFont="1" applyFill="1" applyBorder="1" applyAlignment="1" applyProtection="1">
      <alignment vertical="center"/>
      <protection locked="0"/>
    </xf>
    <xf numFmtId="0" fontId="47" fillId="0" borderId="17" xfId="6" applyNumberFormat="1" applyFont="1" applyFill="1" applyBorder="1" applyAlignment="1" applyProtection="1">
      <alignment vertical="center"/>
      <protection locked="0"/>
    </xf>
    <xf numFmtId="0" fontId="47" fillId="0" borderId="136" xfId="6" applyFont="1" applyFill="1" applyBorder="1" applyAlignment="1" applyProtection="1">
      <alignment horizontal="left" vertical="center" shrinkToFit="1"/>
      <protection locked="0"/>
    </xf>
    <xf numFmtId="0" fontId="47" fillId="0" borderId="137" xfId="6" applyFont="1" applyFill="1" applyBorder="1" applyAlignment="1" applyProtection="1">
      <alignment horizontal="center" vertical="center" shrinkToFit="1"/>
      <protection locked="0"/>
    </xf>
    <xf numFmtId="0" fontId="47" fillId="0" borderId="138" xfId="6" applyFont="1" applyFill="1" applyBorder="1" applyAlignment="1" applyProtection="1">
      <alignment horizontal="center" vertical="center" shrinkToFit="1"/>
      <protection locked="0"/>
    </xf>
    <xf numFmtId="0" fontId="47" fillId="0" borderId="93" xfId="6" applyNumberFormat="1" applyFont="1" applyFill="1" applyBorder="1" applyAlignment="1" applyProtection="1">
      <alignment vertical="center"/>
      <protection locked="0"/>
    </xf>
    <xf numFmtId="38" fontId="47" fillId="0" borderId="93" xfId="1" applyFont="1" applyFill="1" applyBorder="1" applyAlignment="1" applyProtection="1">
      <alignment vertical="center"/>
      <protection locked="0"/>
    </xf>
    <xf numFmtId="38" fontId="47" fillId="0" borderId="93" xfId="1" applyFont="1" applyFill="1" applyBorder="1" applyAlignment="1" applyProtection="1">
      <alignment vertical="center"/>
    </xf>
    <xf numFmtId="185" fontId="47" fillId="0" borderId="139" xfId="7" applyNumberFormat="1" applyFont="1" applyFill="1" applyBorder="1" applyAlignment="1">
      <alignment horizontal="right" vertical="center"/>
    </xf>
    <xf numFmtId="0" fontId="47" fillId="0" borderId="136" xfId="3" applyFont="1" applyFill="1" applyBorder="1" applyAlignment="1">
      <alignment horizontal="left" vertical="center" shrinkToFit="1"/>
    </xf>
    <xf numFmtId="0" fontId="47" fillId="0" borderId="137" xfId="3" applyFont="1" applyFill="1" applyBorder="1" applyAlignment="1">
      <alignment horizontal="center" vertical="center" shrinkToFit="1"/>
    </xf>
    <xf numFmtId="0" fontId="47" fillId="0" borderId="138" xfId="3" applyFont="1" applyFill="1" applyBorder="1" applyAlignment="1">
      <alignment horizontal="center" vertical="center" shrinkToFit="1"/>
    </xf>
    <xf numFmtId="0" fontId="47" fillId="0" borderId="93" xfId="6" applyFont="1" applyFill="1" applyBorder="1" applyAlignment="1" applyProtection="1">
      <alignment vertical="center"/>
      <protection locked="0"/>
    </xf>
    <xf numFmtId="38" fontId="47" fillId="0" borderId="93" xfId="1" applyFont="1" applyFill="1" applyBorder="1" applyAlignment="1">
      <alignment vertical="center"/>
    </xf>
    <xf numFmtId="38" fontId="47" fillId="0" borderId="17" xfId="1" applyFont="1" applyFill="1" applyBorder="1" applyAlignment="1">
      <alignment vertical="center"/>
    </xf>
    <xf numFmtId="0" fontId="47" fillId="0" borderId="131" xfId="3" applyFont="1" applyFill="1" applyBorder="1" applyAlignment="1">
      <alignment horizontal="left" vertical="center" shrinkToFit="1"/>
    </xf>
    <xf numFmtId="0" fontId="47" fillId="0" borderId="74" xfId="3" applyFont="1" applyFill="1" applyBorder="1" applyAlignment="1">
      <alignment horizontal="center" vertical="center" shrinkToFit="1"/>
    </xf>
    <xf numFmtId="0" fontId="47" fillId="0" borderId="76" xfId="3" applyFont="1" applyFill="1" applyBorder="1" applyAlignment="1">
      <alignment horizontal="center" vertical="center" shrinkToFit="1"/>
    </xf>
    <xf numFmtId="38" fontId="47" fillId="0" borderId="17" xfId="1" applyFont="1" applyFill="1" applyBorder="1" applyAlignment="1">
      <alignment horizontal="right" vertical="center"/>
    </xf>
    <xf numFmtId="188" fontId="47" fillId="0" borderId="17" xfId="6" applyNumberFormat="1" applyFont="1" applyFill="1" applyBorder="1" applyAlignment="1" applyProtection="1">
      <alignment vertical="center"/>
      <protection locked="0"/>
    </xf>
    <xf numFmtId="38" fontId="16" fillId="0" borderId="17" xfId="1" applyFont="1" applyFill="1" applyBorder="1" applyAlignment="1" applyProtection="1">
      <alignment vertical="center"/>
    </xf>
    <xf numFmtId="0" fontId="47" fillId="0" borderId="74" xfId="3" applyFont="1" applyFill="1" applyBorder="1" applyAlignment="1">
      <alignment horizontal="center" vertical="center"/>
    </xf>
    <xf numFmtId="0" fontId="47" fillId="0" borderId="76" xfId="3" applyFont="1" applyFill="1" applyBorder="1" applyAlignment="1">
      <alignment horizontal="center" vertical="center"/>
    </xf>
    <xf numFmtId="188" fontId="47" fillId="0" borderId="93" xfId="6" applyNumberFormat="1" applyFont="1" applyFill="1" applyBorder="1" applyAlignment="1" applyProtection="1">
      <alignment vertical="center"/>
      <protection locked="0"/>
    </xf>
    <xf numFmtId="38" fontId="47" fillId="0" borderId="93" xfId="1" applyFont="1" applyFill="1" applyBorder="1" applyAlignment="1">
      <alignment horizontal="right" vertical="center"/>
    </xf>
    <xf numFmtId="38" fontId="47" fillId="0" borderId="105" xfId="1" applyFont="1" applyFill="1" applyBorder="1" applyAlignment="1">
      <alignment horizontal="right" vertical="center"/>
    </xf>
    <xf numFmtId="0" fontId="47" fillId="0" borderId="131" xfId="3" applyFont="1" applyFill="1" applyBorder="1" applyAlignment="1">
      <alignment vertical="center" shrinkToFit="1"/>
    </xf>
    <xf numFmtId="176" fontId="47" fillId="0" borderId="6" xfId="1" applyNumberFormat="1" applyFont="1" applyFill="1" applyBorder="1" applyAlignment="1" applyProtection="1">
      <alignment horizontal="center" vertical="center"/>
    </xf>
    <xf numFmtId="0" fontId="47" fillId="0" borderId="140" xfId="6" applyFont="1" applyFill="1" applyBorder="1" applyAlignment="1" applyProtection="1">
      <alignment horizontal="left" vertical="center" shrinkToFit="1"/>
      <protection locked="0"/>
    </xf>
    <xf numFmtId="0" fontId="47" fillId="0" borderId="95" xfId="6" applyFont="1" applyFill="1" applyBorder="1" applyAlignment="1" applyProtection="1">
      <alignment horizontal="center" vertical="center" shrinkToFit="1"/>
      <protection locked="0"/>
    </xf>
    <xf numFmtId="0" fontId="47" fillId="0" borderId="96" xfId="6" applyFont="1" applyFill="1" applyBorder="1" applyAlignment="1" applyProtection="1">
      <alignment horizontal="center" vertical="center" shrinkToFit="1"/>
      <protection locked="0"/>
    </xf>
    <xf numFmtId="188" fontId="47" fillId="0" borderId="6" xfId="6" applyNumberFormat="1" applyFont="1" applyFill="1" applyBorder="1" applyAlignment="1" applyProtection="1">
      <alignment vertical="center"/>
      <protection locked="0"/>
    </xf>
    <xf numFmtId="38" fontId="47" fillId="0" borderId="6" xfId="1" applyFont="1" applyFill="1" applyBorder="1" applyAlignment="1">
      <alignment horizontal="right" vertical="center"/>
    </xf>
    <xf numFmtId="38" fontId="47" fillId="0" borderId="6" xfId="1" applyFont="1" applyFill="1" applyBorder="1" applyAlignment="1" applyProtection="1">
      <alignment vertical="center"/>
    </xf>
    <xf numFmtId="185" fontId="47" fillId="0" borderId="7" xfId="7" applyNumberFormat="1" applyFont="1" applyFill="1" applyBorder="1" applyAlignment="1">
      <alignment horizontal="right" vertical="center"/>
    </xf>
    <xf numFmtId="0" fontId="47" fillId="0" borderId="136" xfId="3" applyFont="1" applyFill="1" applyBorder="1" applyAlignment="1">
      <alignment vertical="center" shrinkToFit="1"/>
    </xf>
    <xf numFmtId="0" fontId="47" fillId="0" borderId="137" xfId="3" applyFont="1" applyFill="1" applyBorder="1" applyAlignment="1">
      <alignment horizontal="center" vertical="center"/>
    </xf>
    <xf numFmtId="0" fontId="47" fillId="0" borderId="138" xfId="3" applyFont="1" applyFill="1" applyBorder="1" applyAlignment="1">
      <alignment horizontal="center" vertical="center"/>
    </xf>
    <xf numFmtId="176" fontId="47" fillId="0" borderId="10" xfId="1" applyNumberFormat="1" applyFont="1" applyFill="1" applyBorder="1" applyAlignment="1" applyProtection="1">
      <alignment horizontal="center" vertical="center"/>
    </xf>
    <xf numFmtId="0" fontId="47" fillId="0" borderId="141" xfId="3" applyFont="1" applyFill="1" applyBorder="1" applyAlignment="1">
      <alignment vertical="center" shrinkToFit="1"/>
    </xf>
    <xf numFmtId="0" fontId="47" fillId="0" borderId="67" xfId="3" applyFont="1" applyFill="1" applyBorder="1" applyAlignment="1">
      <alignment horizontal="center" vertical="center"/>
    </xf>
    <xf numFmtId="0" fontId="47" fillId="0" borderId="68" xfId="3" applyFont="1" applyFill="1" applyBorder="1" applyAlignment="1">
      <alignment horizontal="center" vertical="center"/>
    </xf>
    <xf numFmtId="0" fontId="47" fillId="0" borderId="12" xfId="6" applyFont="1" applyFill="1" applyBorder="1" applyAlignment="1" applyProtection="1">
      <alignment vertical="center"/>
      <protection locked="0"/>
    </xf>
    <xf numFmtId="38" fontId="47" fillId="0" borderId="12" xfId="1" applyFont="1" applyFill="1" applyBorder="1" applyAlignment="1">
      <alignment vertical="center"/>
    </xf>
    <xf numFmtId="185" fontId="47" fillId="0" borderId="14" xfId="7" applyNumberFormat="1" applyFont="1" applyFill="1" applyBorder="1" applyAlignment="1">
      <alignment horizontal="right" vertical="center"/>
    </xf>
    <xf numFmtId="176" fontId="47" fillId="0" borderId="10" xfId="1" applyNumberFormat="1" applyFont="1" applyFill="1" applyBorder="1" applyAlignment="1" applyProtection="1">
      <alignment horizontal="center" vertical="center"/>
    </xf>
    <xf numFmtId="0" fontId="47" fillId="0" borderId="122" xfId="3" applyFont="1" applyFill="1" applyBorder="1" applyAlignment="1">
      <alignment vertical="center" shrinkToFit="1"/>
    </xf>
    <xf numFmtId="0" fontId="47" fillId="0" borderId="128" xfId="3" applyFont="1" applyFill="1" applyBorder="1" applyAlignment="1">
      <alignment horizontal="center" vertical="center"/>
    </xf>
    <xf numFmtId="0" fontId="47" fillId="0" borderId="129" xfId="3" applyFont="1" applyFill="1" applyBorder="1" applyAlignment="1">
      <alignment horizontal="center" vertical="center"/>
    </xf>
    <xf numFmtId="38" fontId="47" fillId="0" borderId="105" xfId="1" applyFont="1" applyFill="1" applyBorder="1" applyAlignment="1">
      <alignment vertical="center"/>
    </xf>
    <xf numFmtId="176" fontId="47" fillId="0" borderId="12" xfId="1" applyNumberFormat="1" applyFont="1" applyFill="1" applyBorder="1" applyAlignment="1" applyProtection="1">
      <alignment horizontal="center" vertical="center"/>
    </xf>
    <xf numFmtId="176" fontId="47" fillId="0" borderId="9" xfId="1" applyNumberFormat="1" applyFont="1" applyFill="1" applyBorder="1" applyAlignment="1" applyProtection="1">
      <alignment horizontal="center" vertical="center"/>
    </xf>
    <xf numFmtId="188" fontId="47" fillId="0" borderId="12" xfId="6" applyNumberFormat="1" applyFont="1" applyFill="1" applyBorder="1" applyAlignment="1" applyProtection="1">
      <alignment vertical="center"/>
      <protection locked="0"/>
    </xf>
    <xf numFmtId="188" fontId="47" fillId="0" borderId="105" xfId="6" applyNumberFormat="1" applyFont="1" applyFill="1" applyBorder="1" applyAlignment="1" applyProtection="1">
      <alignment vertical="center"/>
      <protection locked="0"/>
    </xf>
    <xf numFmtId="176" fontId="47" fillId="0" borderId="12" xfId="1" applyNumberFormat="1" applyFont="1" applyFill="1" applyBorder="1" applyAlignment="1" applyProtection="1">
      <alignment horizontal="center" vertical="center"/>
    </xf>
    <xf numFmtId="0" fontId="47" fillId="0" borderId="140" xfId="3" applyFont="1" applyFill="1" applyBorder="1" applyAlignment="1">
      <alignment vertical="center" shrinkToFit="1"/>
    </xf>
    <xf numFmtId="0" fontId="47" fillId="0" borderId="95" xfId="3" applyFont="1" applyFill="1" applyBorder="1" applyAlignment="1">
      <alignment horizontal="center" vertical="center"/>
    </xf>
    <xf numFmtId="0" fontId="47" fillId="0" borderId="96" xfId="3" applyFont="1" applyFill="1" applyBorder="1" applyAlignment="1">
      <alignment horizontal="center" vertical="center"/>
    </xf>
    <xf numFmtId="0" fontId="47" fillId="0" borderId="6" xfId="6" applyNumberFormat="1" applyFont="1" applyFill="1" applyBorder="1" applyAlignment="1" applyProtection="1">
      <alignment vertical="center"/>
      <protection locked="0"/>
    </xf>
    <xf numFmtId="38" fontId="47" fillId="0" borderId="6" xfId="1" applyFont="1" applyFill="1" applyBorder="1" applyAlignment="1">
      <alignment vertical="center"/>
    </xf>
    <xf numFmtId="0" fontId="47" fillId="0" borderId="6" xfId="3" applyFont="1" applyFill="1" applyBorder="1" applyAlignment="1">
      <alignment horizontal="center" vertical="center"/>
    </xf>
    <xf numFmtId="0" fontId="47" fillId="0" borderId="10" xfId="3" applyFont="1" applyFill="1" applyBorder="1" applyAlignment="1">
      <alignment horizontal="center" vertical="center"/>
    </xf>
    <xf numFmtId="0" fontId="47" fillId="0" borderId="12" xfId="3" applyFont="1" applyFill="1" applyBorder="1" applyAlignment="1">
      <alignment horizontal="center" vertical="center"/>
    </xf>
    <xf numFmtId="0" fontId="47" fillId="0" borderId="9" xfId="3" applyFont="1" applyFill="1" applyBorder="1" applyAlignment="1">
      <alignment horizontal="center" vertical="center"/>
    </xf>
    <xf numFmtId="189" fontId="16" fillId="0" borderId="0" xfId="1" applyNumberFormat="1" applyFont="1" applyFill="1" applyAlignment="1">
      <alignment horizontal="right" vertical="center"/>
    </xf>
    <xf numFmtId="0" fontId="56" fillId="0" borderId="0" xfId="0" applyFont="1" applyAlignment="1">
      <alignment horizontal="left" shrinkToFit="1"/>
    </xf>
    <xf numFmtId="0" fontId="40" fillId="0" borderId="0" xfId="0" applyFont="1" applyAlignment="1">
      <alignment shrinkToFit="1"/>
    </xf>
    <xf numFmtId="0" fontId="27" fillId="0" borderId="0" xfId="0" applyFont="1" applyAlignment="1">
      <alignment horizontal="center" shrinkToFit="1"/>
    </xf>
    <xf numFmtId="0" fontId="57" fillId="0" borderId="0" xfId="0" applyFont="1" applyAlignment="1">
      <alignment shrinkToFit="1"/>
    </xf>
    <xf numFmtId="0" fontId="58" fillId="0" borderId="0" xfId="0" applyFont="1" applyAlignment="1">
      <alignment shrinkToFit="1"/>
    </xf>
    <xf numFmtId="0" fontId="57" fillId="0" borderId="0" xfId="0" applyFont="1" applyAlignment="1">
      <alignment horizontal="center" shrinkToFit="1"/>
    </xf>
    <xf numFmtId="0" fontId="3" fillId="0" borderId="0" xfId="0" applyFont="1" applyAlignment="1">
      <alignment horizontal="right"/>
    </xf>
    <xf numFmtId="0" fontId="34" fillId="0" borderId="40" xfId="0" applyFont="1" applyBorder="1" applyAlignment="1">
      <alignment horizontal="left" vertical="justify" wrapText="1" shrinkToFit="1"/>
    </xf>
    <xf numFmtId="0" fontId="8" fillId="0" borderId="49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2" xfId="0" applyFont="1" applyBorder="1" applyAlignment="1">
      <alignment vertical="center" shrinkToFit="1"/>
    </xf>
    <xf numFmtId="0" fontId="8" fillId="0" borderId="13" xfId="0" applyFont="1" applyBorder="1" applyAlignment="1">
      <alignment vertical="center" shrinkToFit="1"/>
    </xf>
    <xf numFmtId="0" fontId="8" fillId="0" borderId="49" xfId="0" applyFont="1" applyBorder="1" applyAlignment="1">
      <alignment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34" fillId="0" borderId="10" xfId="0" applyFont="1" applyBorder="1" applyAlignment="1">
      <alignment horizontal="center" vertical="center" wrapText="1" shrinkToFit="1"/>
    </xf>
    <xf numFmtId="0" fontId="34" fillId="0" borderId="142" xfId="0" applyFont="1" applyBorder="1" applyAlignment="1">
      <alignment horizontal="left" vertical="justify" shrinkToFit="1"/>
    </xf>
    <xf numFmtId="0" fontId="29" fillId="0" borderId="143" xfId="0" applyFont="1" applyBorder="1" applyAlignment="1">
      <alignment horizontal="center" vertical="center" shrinkToFit="1"/>
    </xf>
    <xf numFmtId="0" fontId="29" fillId="0" borderId="144" xfId="0" applyFont="1" applyBorder="1" applyAlignment="1">
      <alignment horizontal="center" vertical="center" shrinkToFit="1"/>
    </xf>
    <xf numFmtId="0" fontId="29" fillId="0" borderId="145" xfId="0" applyFont="1" applyBorder="1" applyAlignment="1">
      <alignment horizontal="center" vertical="center" shrinkToFit="1"/>
    </xf>
    <xf numFmtId="0" fontId="29" fillId="0" borderId="27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shrinkToFit="1"/>
    </xf>
    <xf numFmtId="0" fontId="34" fillId="0" borderId="27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46" xfId="0" applyFont="1" applyBorder="1" applyAlignment="1">
      <alignment horizontal="left" vertical="justify" shrinkToFit="1"/>
    </xf>
    <xf numFmtId="0" fontId="34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shrinkToFit="1"/>
    </xf>
    <xf numFmtId="0" fontId="34" fillId="0" borderId="28" xfId="0" applyFont="1" applyBorder="1" applyAlignment="1">
      <alignment horizontal="center" vertical="center" shrinkToFit="1"/>
    </xf>
    <xf numFmtId="0" fontId="34" fillId="0" borderId="3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 shrinkToFit="1"/>
    </xf>
    <xf numFmtId="0" fontId="34" fillId="0" borderId="49" xfId="0" applyFont="1" applyFill="1" applyBorder="1" applyAlignment="1">
      <alignment horizontal="center" vertical="center" wrapText="1" shrinkToFit="1"/>
    </xf>
    <xf numFmtId="176" fontId="41" fillId="0" borderId="56" xfId="0" applyNumberFormat="1" applyFont="1" applyFill="1" applyBorder="1" applyAlignment="1">
      <alignment vertical="center" shrinkToFit="1"/>
    </xf>
    <xf numFmtId="176" fontId="59" fillId="0" borderId="10" xfId="0" applyNumberFormat="1" applyFont="1" applyFill="1" applyBorder="1" applyAlignment="1">
      <alignment vertical="center" shrinkToFit="1"/>
    </xf>
    <xf numFmtId="177" fontId="5" fillId="0" borderId="6" xfId="0" applyNumberFormat="1" applyFont="1" applyFill="1" applyBorder="1" applyAlignment="1">
      <alignment horizontal="right" vertical="center" shrinkToFit="1"/>
    </xf>
    <xf numFmtId="176" fontId="59" fillId="0" borderId="6" xfId="0" applyNumberFormat="1" applyFont="1" applyFill="1" applyBorder="1" applyAlignment="1">
      <alignment vertical="center" shrinkToFit="1"/>
    </xf>
    <xf numFmtId="177" fontId="5" fillId="0" borderId="28" xfId="0" applyNumberFormat="1" applyFont="1" applyFill="1" applyBorder="1" applyAlignment="1">
      <alignment horizontal="center" vertical="center" shrinkToFit="1"/>
    </xf>
    <xf numFmtId="176" fontId="59" fillId="0" borderId="7" xfId="0" applyNumberFormat="1" applyFont="1" applyFill="1" applyBorder="1" applyAlignment="1">
      <alignment vertical="center" shrinkToFit="1"/>
    </xf>
    <xf numFmtId="177" fontId="5" fillId="0" borderId="6" xfId="0" applyNumberFormat="1" applyFont="1" applyFill="1" applyBorder="1" applyAlignment="1">
      <alignment horizontal="center" vertical="center" shrinkToFit="1"/>
    </xf>
    <xf numFmtId="176" fontId="59" fillId="0" borderId="2" xfId="0" applyNumberFormat="1" applyFont="1" applyFill="1" applyBorder="1" applyAlignment="1">
      <alignment vertical="center" shrinkToFit="1"/>
    </xf>
    <xf numFmtId="0" fontId="34" fillId="0" borderId="10" xfId="0" applyFont="1" applyFill="1" applyBorder="1" applyAlignment="1">
      <alignment horizontal="distributed" vertical="center" shrinkToFit="1"/>
    </xf>
    <xf numFmtId="0" fontId="43" fillId="0" borderId="0" xfId="0" applyFont="1" applyFill="1" applyAlignment="1">
      <alignment shrinkToFit="1"/>
    </xf>
    <xf numFmtId="0" fontId="57" fillId="0" borderId="0" xfId="0" applyFont="1" applyFill="1" applyAlignment="1">
      <alignment shrinkToFit="1"/>
    </xf>
    <xf numFmtId="0" fontId="34" fillId="0" borderId="11" xfId="0" applyFont="1" applyFill="1" applyBorder="1" applyAlignment="1">
      <alignment horizontal="center" vertical="center" wrapText="1" shrinkToFit="1"/>
    </xf>
    <xf numFmtId="177" fontId="5" fillId="0" borderId="99" xfId="0" applyNumberFormat="1" applyFont="1" applyFill="1" applyBorder="1" applyAlignment="1">
      <alignment horizontal="center" vertical="center" shrinkToFit="1"/>
    </xf>
    <xf numFmtId="176" fontId="59" fillId="0" borderId="13" xfId="0" applyNumberFormat="1" applyFont="1" applyFill="1" applyBorder="1" applyAlignment="1">
      <alignment vertical="center" shrinkToFit="1"/>
    </xf>
    <xf numFmtId="177" fontId="5" fillId="0" borderId="10" xfId="0" applyNumberFormat="1" applyFont="1" applyFill="1" applyBorder="1" applyAlignment="1">
      <alignment horizontal="center" vertical="center" shrinkToFit="1"/>
    </xf>
    <xf numFmtId="176" fontId="59" fillId="0" borderId="8" xfId="0" applyNumberFormat="1" applyFont="1" applyFill="1" applyBorder="1" applyAlignment="1">
      <alignment vertical="center" shrinkToFit="1"/>
    </xf>
    <xf numFmtId="177" fontId="5" fillId="0" borderId="8" xfId="0" applyNumberFormat="1" applyFont="1" applyFill="1" applyBorder="1" applyAlignment="1">
      <alignment horizontal="center" vertical="center" shrinkToFit="1"/>
    </xf>
    <xf numFmtId="0" fontId="34" fillId="0" borderId="8" xfId="0" applyFont="1" applyFill="1" applyBorder="1" applyAlignment="1">
      <alignment horizontal="distributed" vertical="center" shrinkToFit="1"/>
    </xf>
    <xf numFmtId="0" fontId="34" fillId="0" borderId="47" xfId="0" applyFont="1" applyBorder="1" applyAlignment="1">
      <alignment horizontal="center" vertical="center" wrapText="1" shrinkToFit="1"/>
    </xf>
    <xf numFmtId="176" fontId="41" fillId="0" borderId="147" xfId="0" applyNumberFormat="1" applyFont="1" applyFill="1" applyBorder="1" applyAlignment="1">
      <alignment vertical="center" shrinkToFit="1"/>
    </xf>
    <xf numFmtId="176" fontId="41" fillId="0" borderId="148" xfId="0" applyNumberFormat="1" applyFont="1" applyFill="1" applyBorder="1" applyAlignment="1">
      <alignment vertical="center" shrinkToFit="1"/>
    </xf>
    <xf numFmtId="177" fontId="34" fillId="0" borderId="148" xfId="0" applyNumberFormat="1" applyFont="1" applyBorder="1" applyAlignment="1">
      <alignment horizontal="center" vertical="center" shrinkToFit="1"/>
    </xf>
    <xf numFmtId="177" fontId="34" fillId="0" borderId="149" xfId="0" applyNumberFormat="1" applyFont="1" applyBorder="1" applyAlignment="1">
      <alignment horizontal="center" vertical="center" shrinkToFit="1"/>
    </xf>
    <xf numFmtId="176" fontId="41" fillId="0" borderId="150" xfId="0" applyNumberFormat="1" applyFont="1" applyBorder="1" applyAlignment="1">
      <alignment vertical="center" shrinkToFit="1"/>
    </xf>
    <xf numFmtId="176" fontId="41" fillId="0" borderId="51" xfId="0" applyNumberFormat="1" applyFont="1" applyBorder="1" applyAlignment="1">
      <alignment vertical="center" shrinkToFit="1"/>
    </xf>
    <xf numFmtId="177" fontId="34" fillId="0" borderId="51" xfId="0" applyNumberFormat="1" applyFont="1" applyBorder="1" applyAlignment="1">
      <alignment horizontal="center" vertical="center" shrinkToFit="1"/>
    </xf>
    <xf numFmtId="176" fontId="41" fillId="0" borderId="9" xfId="0" applyNumberFormat="1" applyFont="1" applyBorder="1" applyAlignment="1">
      <alignment vertical="center" shrinkToFit="1"/>
    </xf>
    <xf numFmtId="177" fontId="34" fillId="0" borderId="9" xfId="0" applyNumberFormat="1" applyFont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 wrapText="1" shrinkToFit="1"/>
    </xf>
    <xf numFmtId="0" fontId="43" fillId="0" borderId="0" xfId="0" applyFont="1" applyAlignment="1">
      <alignment shrinkToFit="1"/>
    </xf>
    <xf numFmtId="0" fontId="32" fillId="0" borderId="0" xfId="0" applyFont="1" applyBorder="1" applyAlignment="1">
      <alignment horizontal="distributed" shrinkToFit="1"/>
    </xf>
    <xf numFmtId="177" fontId="60" fillId="0" borderId="0" xfId="0" applyNumberFormat="1" applyFont="1" applyBorder="1" applyAlignment="1">
      <alignment horizontal="center" shrinkToFit="1"/>
    </xf>
    <xf numFmtId="0" fontId="19" fillId="0" borderId="0" xfId="0" applyFont="1" applyBorder="1" applyAlignment="1">
      <alignment horizontal="left" shrinkToFit="1"/>
    </xf>
    <xf numFmtId="0" fontId="27" fillId="0" borderId="0" xfId="0" applyFont="1" applyAlignment="1">
      <alignment shrinkToFit="1"/>
    </xf>
    <xf numFmtId="0" fontId="27" fillId="0" borderId="0" xfId="0" applyFont="1" applyAlignment="1">
      <alignment horizontal="left" shrinkToFit="1"/>
    </xf>
    <xf numFmtId="0" fontId="8" fillId="0" borderId="40" xfId="0" applyFont="1" applyBorder="1" applyAlignment="1">
      <alignment horizontal="left" vertical="justify" wrapText="1" shrinkToFit="1"/>
    </xf>
    <xf numFmtId="0" fontId="8" fillId="0" borderId="6" xfId="0" applyFont="1" applyBorder="1" applyAlignment="1">
      <alignment horizontal="center" vertical="center" shrinkToFit="1"/>
    </xf>
    <xf numFmtId="0" fontId="26" fillId="0" borderId="10" xfId="0" applyFont="1" applyBorder="1" applyAlignment="1">
      <alignment horizontal="center" vertical="center" wrapText="1" shrinkToFit="1"/>
    </xf>
    <xf numFmtId="0" fontId="11" fillId="0" borderId="0" xfId="0" applyFont="1" applyAlignment="1">
      <alignment shrinkToFit="1"/>
    </xf>
    <xf numFmtId="0" fontId="8" fillId="0" borderId="41" xfId="0" applyFont="1" applyBorder="1" applyAlignment="1">
      <alignment horizontal="left" vertical="justify" shrinkToFit="1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1" xfId="0" applyFont="1" applyBorder="1" applyAlignment="1">
      <alignment horizontal="left" vertical="justify" shrinkToFi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shrinkToFit="1"/>
    </xf>
    <xf numFmtId="0" fontId="26" fillId="0" borderId="9" xfId="0" applyFont="1" applyBorder="1" applyAlignment="1">
      <alignment horizontal="center" vertical="center" shrinkToFit="1"/>
    </xf>
    <xf numFmtId="0" fontId="26" fillId="0" borderId="10" xfId="0" applyFont="1" applyFill="1" applyBorder="1" applyAlignment="1">
      <alignment horizontal="distributed" vertical="center" shrinkToFit="1"/>
    </xf>
    <xf numFmtId="176" fontId="61" fillId="0" borderId="10" xfId="0" applyNumberFormat="1" applyFont="1" applyFill="1" applyBorder="1" applyAlignment="1">
      <alignment vertical="center" shrinkToFit="1"/>
    </xf>
    <xf numFmtId="190" fontId="61" fillId="0" borderId="6" xfId="4" applyNumberFormat="1" applyFont="1" applyFill="1" applyBorder="1" applyAlignment="1">
      <alignment horizontal="center" vertical="center" shrinkToFit="1"/>
    </xf>
    <xf numFmtId="177" fontId="61" fillId="0" borderId="6" xfId="0" applyNumberFormat="1" applyFont="1" applyFill="1" applyBorder="1" applyAlignment="1">
      <alignment horizontal="center" vertical="center" shrinkToFit="1"/>
    </xf>
    <xf numFmtId="0" fontId="26" fillId="0" borderId="8" xfId="0" applyFont="1" applyFill="1" applyBorder="1" applyAlignment="1">
      <alignment horizontal="distributed" vertical="center" shrinkToFit="1"/>
    </xf>
    <xf numFmtId="176" fontId="61" fillId="0" borderId="8" xfId="0" applyNumberFormat="1" applyFont="1" applyFill="1" applyBorder="1" applyAlignment="1">
      <alignment vertical="center" shrinkToFit="1"/>
    </xf>
    <xf numFmtId="190" fontId="61" fillId="0" borderId="10" xfId="4" applyNumberFormat="1" applyFont="1" applyFill="1" applyBorder="1" applyAlignment="1">
      <alignment horizontal="center" vertical="center" shrinkToFit="1"/>
    </xf>
    <xf numFmtId="177" fontId="61" fillId="0" borderId="10" xfId="0" applyNumberFormat="1" applyFont="1" applyFill="1" applyBorder="1" applyAlignment="1">
      <alignment horizontal="center" vertical="center" shrinkToFit="1"/>
    </xf>
    <xf numFmtId="0" fontId="26" fillId="0" borderId="47" xfId="0" applyFont="1" applyBorder="1" applyAlignment="1">
      <alignment horizontal="center" vertical="center" wrapText="1" shrinkToFit="1"/>
    </xf>
    <xf numFmtId="176" fontId="26" fillId="0" borderId="9" xfId="0" applyNumberFormat="1" applyFont="1" applyBorder="1" applyAlignment="1">
      <alignment vertical="center" shrinkToFit="1"/>
    </xf>
    <xf numFmtId="176" fontId="26" fillId="0" borderId="51" xfId="0" applyNumberFormat="1" applyFont="1" applyBorder="1" applyAlignment="1">
      <alignment vertical="center" shrinkToFit="1"/>
    </xf>
    <xf numFmtId="190" fontId="26" fillId="0" borderId="51" xfId="4" applyNumberFormat="1" applyFont="1" applyFill="1" applyBorder="1" applyAlignment="1">
      <alignment horizontal="center" vertical="center" shrinkToFit="1"/>
    </xf>
    <xf numFmtId="176" fontId="26" fillId="0" borderId="51" xfId="0" applyNumberFormat="1" applyFont="1" applyFill="1" applyBorder="1" applyAlignment="1">
      <alignment vertical="center" shrinkToFit="1"/>
    </xf>
    <xf numFmtId="177" fontId="26" fillId="0" borderId="51" xfId="0" applyNumberFormat="1" applyFont="1" applyFill="1" applyBorder="1" applyAlignment="1">
      <alignment horizontal="center" vertical="center" shrinkToFit="1"/>
    </xf>
    <xf numFmtId="0" fontId="26" fillId="0" borderId="51" xfId="0" applyFont="1" applyBorder="1" applyAlignment="1">
      <alignment horizontal="center" vertical="center" wrapText="1" shrinkToFit="1"/>
    </xf>
    <xf numFmtId="0" fontId="10" fillId="0" borderId="0" xfId="0" applyFont="1" applyAlignment="1">
      <alignment shrinkToFit="1"/>
    </xf>
    <xf numFmtId="176" fontId="60" fillId="0" borderId="0" xfId="0" applyNumberFormat="1" applyFont="1" applyBorder="1" applyAlignment="1">
      <alignment horizontal="center" shrinkToFit="1"/>
    </xf>
    <xf numFmtId="0" fontId="17" fillId="0" borderId="0" xfId="0" applyFont="1" applyBorder="1" applyAlignment="1">
      <alignment horizontal="left" shrinkToFit="1"/>
    </xf>
    <xf numFmtId="0" fontId="8" fillId="0" borderId="10" xfId="0" applyFont="1" applyBorder="1" applyAlignment="1">
      <alignment horizontal="center" vertical="center" wrapText="1" shrinkToFit="1"/>
    </xf>
    <xf numFmtId="0" fontId="8" fillId="0" borderId="12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176" fontId="61" fillId="0" borderId="2" xfId="0" applyNumberFormat="1" applyFont="1" applyFill="1" applyBorder="1" applyAlignment="1">
      <alignment vertical="center" shrinkToFit="1"/>
    </xf>
    <xf numFmtId="176" fontId="61" fillId="0" borderId="6" xfId="0" applyNumberFormat="1" applyFont="1" applyFill="1" applyBorder="1" applyAlignment="1">
      <alignment vertical="center" shrinkToFit="1"/>
    </xf>
    <xf numFmtId="177" fontId="61" fillId="0" borderId="6" xfId="0" applyNumberFormat="1" applyFont="1" applyFill="1" applyBorder="1" applyAlignment="1">
      <alignment vertical="center" shrinkToFit="1"/>
    </xf>
    <xf numFmtId="0" fontId="8" fillId="0" borderId="8" xfId="0" applyFont="1" applyFill="1" applyBorder="1" applyAlignment="1">
      <alignment horizontal="center" vertical="center" shrinkToFit="1"/>
    </xf>
    <xf numFmtId="177" fontId="61" fillId="0" borderId="10" xfId="0" applyNumberFormat="1" applyFont="1" applyFill="1" applyBorder="1" applyAlignment="1">
      <alignment vertical="center" shrinkToFit="1"/>
    </xf>
    <xf numFmtId="0" fontId="8" fillId="0" borderId="47" xfId="0" applyFont="1" applyBorder="1" applyAlignment="1">
      <alignment horizontal="center" vertical="center" wrapText="1" shrinkToFit="1"/>
    </xf>
    <xf numFmtId="176" fontId="61" fillId="0" borderId="9" xfId="0" applyNumberFormat="1" applyFont="1" applyFill="1" applyBorder="1" applyAlignment="1">
      <alignment vertical="center" shrinkToFit="1"/>
    </xf>
    <xf numFmtId="176" fontId="61" fillId="0" borderId="51" xfId="0" applyNumberFormat="1" applyFont="1" applyFill="1" applyBorder="1" applyAlignment="1">
      <alignment vertical="center" shrinkToFit="1"/>
    </xf>
    <xf numFmtId="177" fontId="61" fillId="0" borderId="51" xfId="0" applyNumberFormat="1" applyFont="1" applyFill="1" applyBorder="1" applyAlignment="1">
      <alignment vertical="center" shrinkToFit="1"/>
    </xf>
    <xf numFmtId="0" fontId="8" fillId="0" borderId="51" xfId="0" applyFont="1" applyBorder="1" applyAlignment="1">
      <alignment horizontal="center" vertical="center" wrapText="1" shrinkToFit="1"/>
    </xf>
    <xf numFmtId="0" fontId="17" fillId="0" borderId="2" xfId="0" applyFont="1" applyBorder="1" applyAlignment="1">
      <alignment horizontal="left" wrapText="1"/>
    </xf>
    <xf numFmtId="0" fontId="1" fillId="0" borderId="0" xfId="8" applyFont="1" applyBorder="1" applyAlignment="1">
      <alignment horizontal="center" vertical="center"/>
    </xf>
    <xf numFmtId="10" fontId="1" fillId="0" borderId="0" xfId="8" applyNumberFormat="1" applyBorder="1">
      <alignment vertical="center"/>
    </xf>
    <xf numFmtId="0" fontId="17" fillId="0" borderId="0" xfId="0" applyFont="1" applyAlignment="1">
      <alignment horizontal="left" wrapText="1"/>
    </xf>
    <xf numFmtId="0" fontId="43" fillId="0" borderId="0" xfId="0" applyFont="1" applyBorder="1" applyAlignment="1">
      <alignment shrinkToFit="1"/>
    </xf>
    <xf numFmtId="0" fontId="57" fillId="0" borderId="14" xfId="0" applyFont="1" applyBorder="1" applyAlignment="1">
      <alignment shrinkToFit="1"/>
    </xf>
    <xf numFmtId="0" fontId="1" fillId="0" borderId="24" xfId="8" applyFont="1" applyBorder="1" applyAlignment="1">
      <alignment horizontal="center" vertical="center"/>
    </xf>
    <xf numFmtId="0" fontId="1" fillId="0" borderId="144" xfId="8" applyFont="1" applyBorder="1" applyAlignment="1">
      <alignment horizontal="center" vertical="center"/>
    </xf>
    <xf numFmtId="0" fontId="1" fillId="0" borderId="26" xfId="8" applyFont="1" applyBorder="1" applyAlignment="1">
      <alignment horizontal="center" vertical="center"/>
    </xf>
    <xf numFmtId="0" fontId="1" fillId="0" borderId="3" xfId="8" applyFont="1" applyBorder="1" applyAlignment="1">
      <alignment horizontal="center" vertical="center"/>
    </xf>
    <xf numFmtId="0" fontId="1" fillId="0" borderId="7" xfId="8" applyFont="1" applyBorder="1" applyAlignment="1">
      <alignment horizontal="center" vertical="center"/>
    </xf>
    <xf numFmtId="0" fontId="1" fillId="0" borderId="6" xfId="8" applyFont="1" applyBorder="1" applyAlignment="1">
      <alignment horizontal="center" vertical="center"/>
    </xf>
    <xf numFmtId="176" fontId="43" fillId="0" borderId="6" xfId="0" applyNumberFormat="1" applyFont="1" applyFill="1" applyBorder="1" applyAlignment="1">
      <alignment vertical="center" shrinkToFit="1"/>
    </xf>
    <xf numFmtId="0" fontId="1" fillId="0" borderId="27" xfId="8" applyNumberFormat="1" applyFont="1" applyBorder="1" applyAlignment="1">
      <alignment horizontal="center" vertical="center"/>
    </xf>
    <xf numFmtId="10" fontId="1" fillId="0" borderId="7" xfId="8" applyNumberFormat="1" applyBorder="1">
      <alignment vertical="center"/>
    </xf>
    <xf numFmtId="10" fontId="1" fillId="0" borderId="6" xfId="8" applyNumberFormat="1" applyBorder="1">
      <alignment vertical="center"/>
    </xf>
    <xf numFmtId="176" fontId="43" fillId="0" borderId="10" xfId="0" applyNumberFormat="1" applyFont="1" applyFill="1" applyBorder="1" applyAlignment="1">
      <alignment vertical="center" shrinkToFit="1"/>
    </xf>
    <xf numFmtId="0" fontId="6" fillId="2" borderId="0" xfId="0" applyFont="1" applyFill="1" applyAlignment="1"/>
  </cellXfs>
  <cellStyles count="9">
    <cellStyle name="パーセント" xfId="4" builtinId="5"/>
    <cellStyle name="パーセント 2" xfId="7" xr:uid="{02D5C9BE-6BB4-4CC8-AACB-AE70148FA697}"/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_9 表７、８" xfId="5" xr:uid="{CE79EEDD-D310-45A2-906A-F293235D8961}"/>
    <cellStyle name="標準_パラメータ調査集計表（H22.4-6）24.1.30(修正)" xfId="8" xr:uid="{8A52DA2C-49FB-4AE8-A46B-F9988302723B}"/>
    <cellStyle name="標準_観光地点等名簿" xfId="6" xr:uid="{25BEC551-30FE-450A-827F-6D4C19A1CF9E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showGridLines="0" tabSelected="1" view="pageBreakPreview" zoomScaleNormal="70" zoomScaleSheetLayoutView="100" workbookViewId="0"/>
  </sheetViews>
  <sheetFormatPr defaultRowHeight="13.5" x14ac:dyDescent="0.15"/>
  <cols>
    <col min="1" max="3" width="27.625" customWidth="1"/>
    <col min="4" max="4" width="7.625" customWidth="1"/>
  </cols>
  <sheetData>
    <row r="1" spans="1:5" ht="18.75" x14ac:dyDescent="0.2">
      <c r="A1" s="745" t="s">
        <v>51</v>
      </c>
      <c r="B1" s="745"/>
      <c r="C1" s="745"/>
    </row>
    <row r="2" spans="1:5" ht="18.75" x14ac:dyDescent="0.2">
      <c r="A2" s="8"/>
      <c r="B2" s="8"/>
      <c r="C2" s="8"/>
    </row>
    <row r="3" spans="1:5" ht="18.75" x14ac:dyDescent="0.2">
      <c r="A3" s="8"/>
      <c r="B3" s="8"/>
      <c r="C3" s="8"/>
    </row>
    <row r="4" spans="1:5" s="2" customFormat="1" ht="14.25" x14ac:dyDescent="0.15">
      <c r="A4" s="1"/>
      <c r="B4" s="1"/>
      <c r="C4" s="87"/>
    </row>
    <row r="5" spans="1:5" s="3" customFormat="1" ht="59.25" customHeight="1" thickBot="1" x14ac:dyDescent="0.2">
      <c r="A5" s="5" t="s">
        <v>41</v>
      </c>
      <c r="B5" s="49" t="s">
        <v>19</v>
      </c>
      <c r="C5" s="50" t="s">
        <v>25</v>
      </c>
    </row>
    <row r="6" spans="1:5" s="3" customFormat="1" ht="56.1" customHeight="1" thickTop="1" x14ac:dyDescent="0.15">
      <c r="A6" s="52" t="s">
        <v>55</v>
      </c>
      <c r="B6" s="88">
        <v>71601558</v>
      </c>
      <c r="C6" s="91">
        <v>101.04364952576069</v>
      </c>
      <c r="E6" s="9"/>
    </row>
    <row r="7" spans="1:5" s="3" customFormat="1" ht="56.1" customHeight="1" x14ac:dyDescent="0.15">
      <c r="A7" s="52" t="s">
        <v>56</v>
      </c>
      <c r="B7" s="88">
        <v>72986893</v>
      </c>
      <c r="C7" s="91">
        <v>101.93478331854176</v>
      </c>
      <c r="E7" s="9"/>
    </row>
    <row r="8" spans="1:5" s="3" customFormat="1" ht="56.1" customHeight="1" x14ac:dyDescent="0.15">
      <c r="A8" s="4" t="s">
        <v>57</v>
      </c>
      <c r="B8" s="89">
        <v>77446713</v>
      </c>
      <c r="C8" s="91">
        <v>106.11043958262479</v>
      </c>
      <c r="E8" s="9"/>
    </row>
    <row r="9" spans="1:5" s="3" customFormat="1" ht="56.1" customHeight="1" x14ac:dyDescent="0.15">
      <c r="A9" s="52" t="s">
        <v>58</v>
      </c>
      <c r="B9" s="88">
        <v>74172409</v>
      </c>
      <c r="C9" s="91">
        <v>95.772184676191486</v>
      </c>
      <c r="E9" s="9"/>
    </row>
    <row r="10" spans="1:5" s="3" customFormat="1" ht="56.1" customHeight="1" x14ac:dyDescent="0.15">
      <c r="A10" s="52" t="s">
        <v>59</v>
      </c>
      <c r="B10" s="88">
        <v>72477709</v>
      </c>
      <c r="C10" s="91">
        <v>97.71518813687176</v>
      </c>
      <c r="E10" s="9"/>
    </row>
    <row r="11" spans="1:5" ht="56.1" customHeight="1" x14ac:dyDescent="0.15">
      <c r="A11" s="52" t="s">
        <v>60</v>
      </c>
      <c r="B11" s="88">
        <v>74828029</v>
      </c>
      <c r="C11" s="91">
        <v>103.24281773310467</v>
      </c>
      <c r="E11" s="9"/>
    </row>
    <row r="12" spans="1:5" ht="56.1" customHeight="1" x14ac:dyDescent="0.15">
      <c r="A12" s="51" t="s">
        <v>61</v>
      </c>
      <c r="B12" s="89">
        <v>73303449</v>
      </c>
      <c r="C12" s="91">
        <v>97.962554913747624</v>
      </c>
      <c r="E12" s="9"/>
    </row>
    <row r="13" spans="1:5" ht="56.1" customHeight="1" x14ac:dyDescent="0.15">
      <c r="A13" s="52" t="s">
        <v>62</v>
      </c>
      <c r="B13" s="88">
        <v>42006752</v>
      </c>
      <c r="C13" s="91">
        <v>57.305287231437092</v>
      </c>
    </row>
    <row r="14" spans="1:5" ht="56.1" customHeight="1" x14ac:dyDescent="0.15">
      <c r="A14" s="85" t="s">
        <v>63</v>
      </c>
      <c r="B14" s="90">
        <v>42997139</v>
      </c>
      <c r="C14" s="91">
        <f t="shared" ref="C14" si="0">100*B14/B13</f>
        <v>102.3576852597411</v>
      </c>
    </row>
    <row r="15" spans="1:5" ht="56.1" customHeight="1" x14ac:dyDescent="0.15">
      <c r="A15" s="85" t="s">
        <v>64</v>
      </c>
      <c r="B15" s="90">
        <v>55324776</v>
      </c>
      <c r="C15" s="91">
        <f t="shared" ref="C15" si="1">100*B15/B14</f>
        <v>128.67083086621182</v>
      </c>
    </row>
    <row r="43" spans="1:3" ht="14.25" x14ac:dyDescent="0.15">
      <c r="A43" s="86"/>
      <c r="B43" s="86"/>
      <c r="C43" s="86"/>
    </row>
  </sheetData>
  <phoneticPr fontId="2"/>
  <printOptions horizontalCentered="1"/>
  <pageMargins left="0.19685039370078741" right="0.39370078740157483" top="0.59055118110236227" bottom="0.55118110236220474" header="0.51181102362204722" footer="0.15748031496062992"/>
  <pageSetup paperSize="9" firstPageNumber="39" fitToHeight="0" orientation="portrait" useFirstPageNumber="1" r:id="rId1"/>
  <headerFooter alignWithMargins="0">
    <oddFooter>&amp;C&amp;"ＭＳ 明朝,標準"&amp;12- 29 -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"/>
  <sheetViews>
    <sheetView view="pageBreakPreview" topLeftCell="B1" zoomScale="40" zoomScaleNormal="50" zoomScaleSheetLayoutView="40" workbookViewId="0">
      <selection activeCell="B1" sqref="B1:F1"/>
    </sheetView>
  </sheetViews>
  <sheetFormatPr defaultRowHeight="21" x14ac:dyDescent="0.2"/>
  <cols>
    <col min="1" max="1" width="11.375" style="6" hidden="1" customWidth="1"/>
    <col min="2" max="2" width="29.25" style="13" customWidth="1"/>
    <col min="3" max="7" width="19.625" style="6" customWidth="1"/>
    <col min="8" max="8" width="19.5" style="6" customWidth="1"/>
    <col min="9" max="14" width="19.625" style="6" customWidth="1"/>
    <col min="15" max="16" width="21" style="6" customWidth="1"/>
    <col min="17" max="17" width="11.25" style="6" bestFit="1" customWidth="1"/>
    <col min="18" max="18" width="9" style="6"/>
    <col min="19" max="19" width="6.625" style="6" bestFit="1" customWidth="1"/>
    <col min="20" max="16384" width="9" style="6"/>
  </cols>
  <sheetData>
    <row r="1" spans="1:18" ht="32.25" customHeight="1" x14ac:dyDescent="0.25">
      <c r="B1" s="176" t="s">
        <v>30</v>
      </c>
      <c r="C1" s="176"/>
      <c r="D1" s="176"/>
      <c r="E1" s="176"/>
      <c r="F1" s="176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</row>
    <row r="2" spans="1:18" ht="17.25" customHeight="1" x14ac:dyDescent="0.25">
      <c r="B2" s="12"/>
      <c r="C2" s="12"/>
      <c r="D2" s="12"/>
      <c r="E2" s="12"/>
      <c r="F2" s="12"/>
      <c r="G2" s="10"/>
      <c r="H2" s="10"/>
      <c r="I2" s="10"/>
      <c r="J2" s="10"/>
      <c r="K2" s="10"/>
      <c r="L2" s="10"/>
      <c r="M2" s="10"/>
      <c r="N2" s="130"/>
      <c r="O2" s="130"/>
      <c r="P2" s="174" t="s">
        <v>28</v>
      </c>
      <c r="Q2" s="174"/>
    </row>
    <row r="3" spans="1:18" ht="21" customHeight="1" x14ac:dyDescent="0.25">
      <c r="N3" s="131"/>
      <c r="O3" s="131"/>
      <c r="P3" s="175"/>
      <c r="Q3" s="175"/>
    </row>
    <row r="4" spans="1:18" s="13" customFormat="1" ht="48" customHeight="1" x14ac:dyDescent="0.2">
      <c r="B4" s="142" t="s">
        <v>40</v>
      </c>
      <c r="C4" s="145" t="s">
        <v>26</v>
      </c>
      <c r="D4" s="146"/>
      <c r="E4" s="146"/>
      <c r="F4" s="146"/>
      <c r="G4" s="146"/>
      <c r="H4" s="147"/>
      <c r="I4" s="145" t="s">
        <v>26</v>
      </c>
      <c r="J4" s="146"/>
      <c r="K4" s="146"/>
      <c r="L4" s="146"/>
      <c r="M4" s="146"/>
      <c r="N4" s="146"/>
      <c r="O4" s="166" t="s">
        <v>65</v>
      </c>
      <c r="P4" s="169" t="s">
        <v>54</v>
      </c>
      <c r="Q4" s="163" t="s">
        <v>50</v>
      </c>
    </row>
    <row r="5" spans="1:18" s="13" customFormat="1" ht="48" customHeight="1" x14ac:dyDescent="0.2">
      <c r="B5" s="143"/>
      <c r="C5" s="165" t="s">
        <v>22</v>
      </c>
      <c r="D5" s="177"/>
      <c r="E5" s="165"/>
      <c r="F5" s="165" t="s">
        <v>23</v>
      </c>
      <c r="G5" s="165"/>
      <c r="H5" s="165"/>
      <c r="I5" s="165" t="s">
        <v>24</v>
      </c>
      <c r="J5" s="165"/>
      <c r="K5" s="165"/>
      <c r="L5" s="165" t="s">
        <v>42</v>
      </c>
      <c r="M5" s="165"/>
      <c r="N5" s="165"/>
      <c r="O5" s="167"/>
      <c r="P5" s="170"/>
      <c r="Q5" s="137"/>
      <c r="R5" s="10"/>
    </row>
    <row r="6" spans="1:18" s="13" customFormat="1" ht="39.75" customHeight="1" thickBot="1" x14ac:dyDescent="0.25">
      <c r="A6" s="13" t="s">
        <v>33</v>
      </c>
      <c r="B6" s="144"/>
      <c r="C6" s="32" t="s">
        <v>6</v>
      </c>
      <c r="D6" s="47" t="s">
        <v>7</v>
      </c>
      <c r="E6" s="32" t="s">
        <v>8</v>
      </c>
      <c r="F6" s="32" t="s">
        <v>0</v>
      </c>
      <c r="G6" s="32" t="s">
        <v>1</v>
      </c>
      <c r="H6" s="32" t="s">
        <v>2</v>
      </c>
      <c r="I6" s="32" t="s">
        <v>3</v>
      </c>
      <c r="J6" s="32" t="s">
        <v>4</v>
      </c>
      <c r="K6" s="32" t="s">
        <v>5</v>
      </c>
      <c r="L6" s="32" t="s">
        <v>43</v>
      </c>
      <c r="M6" s="32" t="s">
        <v>44</v>
      </c>
      <c r="N6" s="32" t="s">
        <v>45</v>
      </c>
      <c r="O6" s="168"/>
      <c r="P6" s="171"/>
      <c r="Q6" s="164"/>
    </row>
    <row r="7" spans="1:18" ht="49.5" customHeight="1" thickTop="1" x14ac:dyDescent="0.2">
      <c r="A7" s="6" t="s">
        <v>34</v>
      </c>
      <c r="B7" s="139" t="s">
        <v>37</v>
      </c>
      <c r="C7" s="33">
        <v>1578071</v>
      </c>
      <c r="D7" s="56">
        <v>857295</v>
      </c>
      <c r="E7" s="36">
        <v>1514072</v>
      </c>
      <c r="F7" s="35">
        <v>2149826</v>
      </c>
      <c r="G7" s="36">
        <v>2594405</v>
      </c>
      <c r="H7" s="36">
        <v>1803701</v>
      </c>
      <c r="I7" s="38">
        <v>2105632</v>
      </c>
      <c r="J7" s="38">
        <v>2488068</v>
      </c>
      <c r="K7" s="38">
        <v>2284959</v>
      </c>
      <c r="L7" s="38">
        <v>2526240</v>
      </c>
      <c r="M7" s="38">
        <v>2391299</v>
      </c>
      <c r="N7" s="38">
        <v>1281735</v>
      </c>
      <c r="O7" s="60">
        <v>23575303</v>
      </c>
      <c r="P7" s="39">
        <v>19670141</v>
      </c>
      <c r="Q7" s="126">
        <v>0.19853248637109422</v>
      </c>
    </row>
    <row r="8" spans="1:18" hidden="1" x14ac:dyDescent="0.2">
      <c r="A8" s="6" t="s">
        <v>35</v>
      </c>
      <c r="B8" s="137"/>
      <c r="C8" s="62">
        <v>1185259</v>
      </c>
      <c r="D8" s="63">
        <v>1070982</v>
      </c>
      <c r="E8" s="64">
        <v>1480227</v>
      </c>
      <c r="F8" s="65">
        <v>1635808</v>
      </c>
      <c r="G8" s="64">
        <v>1864563</v>
      </c>
      <c r="H8" s="64">
        <v>1523990</v>
      </c>
      <c r="I8" s="64">
        <v>1827776</v>
      </c>
      <c r="J8" s="64">
        <v>1961164</v>
      </c>
      <c r="K8" s="64">
        <v>1639998</v>
      </c>
      <c r="L8" s="64">
        <v>1928154</v>
      </c>
      <c r="M8" s="64">
        <v>2267192</v>
      </c>
      <c r="N8" s="64">
        <v>1285028</v>
      </c>
      <c r="O8" s="66">
        <v>19670141</v>
      </c>
      <c r="P8" s="67"/>
      <c r="Q8" s="103"/>
    </row>
    <row r="9" spans="1:18" s="92" customFormat="1" hidden="1" x14ac:dyDescent="0.2">
      <c r="A9" s="92" t="s">
        <v>36</v>
      </c>
      <c r="B9" s="138"/>
      <c r="C9" s="93">
        <v>0.33141448409166263</v>
      </c>
      <c r="D9" s="94">
        <v>-0.19952436175397903</v>
      </c>
      <c r="E9" s="93">
        <v>2.2864736287069531E-2</v>
      </c>
      <c r="F9" s="93">
        <v>0.31422880924900731</v>
      </c>
      <c r="G9" s="93">
        <v>0.39142791099040375</v>
      </c>
      <c r="H9" s="93">
        <v>0.18353860589636417</v>
      </c>
      <c r="I9" s="95">
        <v>0.15201862810322497</v>
      </c>
      <c r="J9" s="95">
        <v>0.26866901493194861</v>
      </c>
      <c r="K9" s="95">
        <v>0.39326938203583173</v>
      </c>
      <c r="L9" s="95">
        <v>0.31018580466083101</v>
      </c>
      <c r="M9" s="95">
        <v>5.4740401342277201E-2</v>
      </c>
      <c r="N9" s="95">
        <v>-2.5625900758582398E-3</v>
      </c>
      <c r="O9" s="96">
        <v>0.19853248637109422</v>
      </c>
      <c r="P9" s="97"/>
      <c r="Q9" s="98"/>
    </row>
    <row r="10" spans="1:18" ht="49.5" customHeight="1" x14ac:dyDescent="0.2">
      <c r="A10" s="6" t="s">
        <v>27</v>
      </c>
      <c r="B10" s="148" t="s">
        <v>15</v>
      </c>
      <c r="C10" s="34">
        <v>490515</v>
      </c>
      <c r="D10" s="48">
        <v>412518</v>
      </c>
      <c r="E10" s="34">
        <v>640726</v>
      </c>
      <c r="F10" s="34">
        <v>947570</v>
      </c>
      <c r="G10" s="34">
        <v>1594055</v>
      </c>
      <c r="H10" s="34">
        <v>1364829</v>
      </c>
      <c r="I10" s="33">
        <v>1251869</v>
      </c>
      <c r="J10" s="33">
        <v>2114886</v>
      </c>
      <c r="K10" s="33">
        <v>1170790</v>
      </c>
      <c r="L10" s="33">
        <v>1461789</v>
      </c>
      <c r="M10" s="33">
        <v>1218737</v>
      </c>
      <c r="N10" s="33">
        <v>689827</v>
      </c>
      <c r="O10" s="61">
        <v>13358111</v>
      </c>
      <c r="P10" s="37">
        <v>10227238</v>
      </c>
      <c r="Q10" s="123">
        <v>0.30613084392873224</v>
      </c>
    </row>
    <row r="11" spans="1:18" hidden="1" x14ac:dyDescent="0.2">
      <c r="B11" s="148"/>
      <c r="C11" s="68">
        <v>365788</v>
      </c>
      <c r="D11" s="68">
        <v>559822</v>
      </c>
      <c r="E11" s="68">
        <v>644748</v>
      </c>
      <c r="F11" s="68">
        <v>794231</v>
      </c>
      <c r="G11" s="68">
        <v>1011571</v>
      </c>
      <c r="H11" s="68">
        <v>868503</v>
      </c>
      <c r="I11" s="68">
        <v>980938</v>
      </c>
      <c r="J11" s="68">
        <v>1200658</v>
      </c>
      <c r="K11" s="68">
        <v>810234</v>
      </c>
      <c r="L11" s="68">
        <v>1122245</v>
      </c>
      <c r="M11" s="68">
        <v>1186762</v>
      </c>
      <c r="N11" s="68">
        <v>681738</v>
      </c>
      <c r="O11" s="66">
        <v>10227238</v>
      </c>
      <c r="P11" s="67"/>
      <c r="Q11" s="103"/>
    </row>
    <row r="12" spans="1:18" s="92" customFormat="1" hidden="1" x14ac:dyDescent="0.2">
      <c r="B12" s="148"/>
      <c r="C12" s="100">
        <v>0.34098166150885212</v>
      </c>
      <c r="D12" s="100">
        <v>-0.2631264937783796</v>
      </c>
      <c r="E12" s="100">
        <v>-6.2380961243773125E-3</v>
      </c>
      <c r="F12" s="100">
        <v>0.19306599717210737</v>
      </c>
      <c r="G12" s="100">
        <v>0.57582117320484683</v>
      </c>
      <c r="H12" s="100">
        <v>0.57147298282216652</v>
      </c>
      <c r="I12" s="100">
        <v>0.27619584520122586</v>
      </c>
      <c r="J12" s="100">
        <v>0.76143914420259562</v>
      </c>
      <c r="K12" s="100">
        <v>0.445002307975227</v>
      </c>
      <c r="L12" s="100">
        <v>0.30255781937099302</v>
      </c>
      <c r="M12" s="100">
        <v>2.6943060192355262E-2</v>
      </c>
      <c r="N12" s="100">
        <v>1.1865262021480305E-2</v>
      </c>
      <c r="O12" s="101">
        <v>0.30613084392873224</v>
      </c>
      <c r="P12" s="102"/>
      <c r="Q12" s="103"/>
    </row>
    <row r="13" spans="1:18" ht="49.5" customHeight="1" x14ac:dyDescent="0.2">
      <c r="B13" s="148" t="s">
        <v>16</v>
      </c>
      <c r="C13" s="33">
        <v>986918</v>
      </c>
      <c r="D13" s="33">
        <v>951686</v>
      </c>
      <c r="E13" s="33">
        <v>951350</v>
      </c>
      <c r="F13" s="33">
        <v>484177</v>
      </c>
      <c r="G13" s="33">
        <v>699127</v>
      </c>
      <c r="H13" s="33">
        <v>439398</v>
      </c>
      <c r="I13" s="33">
        <v>641844</v>
      </c>
      <c r="J13" s="33">
        <v>850279</v>
      </c>
      <c r="K13" s="33">
        <v>652703</v>
      </c>
      <c r="L13" s="33">
        <v>839132</v>
      </c>
      <c r="M13" s="33">
        <v>535401</v>
      </c>
      <c r="N13" s="33">
        <v>519963</v>
      </c>
      <c r="O13" s="61">
        <v>8551978</v>
      </c>
      <c r="P13" s="37">
        <v>5698848</v>
      </c>
      <c r="Q13" s="123">
        <v>0.50065030686903733</v>
      </c>
    </row>
    <row r="14" spans="1:18" hidden="1" x14ac:dyDescent="0.2">
      <c r="B14" s="148"/>
      <c r="C14" s="65">
        <v>559179</v>
      </c>
      <c r="D14" s="65">
        <v>731485</v>
      </c>
      <c r="E14" s="65">
        <v>778127</v>
      </c>
      <c r="F14" s="65">
        <v>334297</v>
      </c>
      <c r="G14" s="65">
        <v>350230</v>
      </c>
      <c r="H14" s="65">
        <v>257203</v>
      </c>
      <c r="I14" s="65">
        <v>341627</v>
      </c>
      <c r="J14" s="65">
        <v>476579</v>
      </c>
      <c r="K14" s="65">
        <v>387212</v>
      </c>
      <c r="L14" s="65">
        <v>533774</v>
      </c>
      <c r="M14" s="65">
        <v>446913</v>
      </c>
      <c r="N14" s="65">
        <v>502222</v>
      </c>
      <c r="O14" s="66">
        <v>5698848</v>
      </c>
      <c r="P14" s="67"/>
      <c r="Q14" s="103"/>
    </row>
    <row r="15" spans="1:18" s="92" customFormat="1" hidden="1" x14ac:dyDescent="0.2">
      <c r="B15" s="148"/>
      <c r="C15" s="100">
        <v>0.76494110115007885</v>
      </c>
      <c r="D15" s="100">
        <v>0.30103283047499274</v>
      </c>
      <c r="E15" s="100">
        <v>0.22261533143047352</v>
      </c>
      <c r="F15" s="100">
        <v>0.44834383796444488</v>
      </c>
      <c r="G15" s="100">
        <v>0.99619392970333775</v>
      </c>
      <c r="H15" s="100">
        <v>0.70837043113805054</v>
      </c>
      <c r="I15" s="100">
        <v>0.87878592734180838</v>
      </c>
      <c r="J15" s="100">
        <v>0.78413022814685496</v>
      </c>
      <c r="K15" s="100">
        <v>0.68564765554786522</v>
      </c>
      <c r="L15" s="100">
        <v>0.57207357420930949</v>
      </c>
      <c r="M15" s="100">
        <v>0.19799826811929844</v>
      </c>
      <c r="N15" s="100">
        <v>3.5325015630537804E-2</v>
      </c>
      <c r="O15" s="101">
        <v>0.50065030686903733</v>
      </c>
      <c r="P15" s="102"/>
      <c r="Q15" s="103"/>
    </row>
    <row r="16" spans="1:18" ht="49.5" customHeight="1" x14ac:dyDescent="0.2">
      <c r="B16" s="136" t="s">
        <v>17</v>
      </c>
      <c r="C16" s="33">
        <v>442489</v>
      </c>
      <c r="D16" s="33">
        <v>391007</v>
      </c>
      <c r="E16" s="33">
        <v>425885</v>
      </c>
      <c r="F16" s="33">
        <v>997889</v>
      </c>
      <c r="G16" s="33">
        <v>918157</v>
      </c>
      <c r="H16" s="33">
        <v>749266</v>
      </c>
      <c r="I16" s="33">
        <v>1132058</v>
      </c>
      <c r="J16" s="33">
        <v>1353904</v>
      </c>
      <c r="K16" s="33">
        <v>712805</v>
      </c>
      <c r="L16" s="33">
        <v>907453</v>
      </c>
      <c r="M16" s="33">
        <v>675238</v>
      </c>
      <c r="N16" s="33">
        <v>377268</v>
      </c>
      <c r="O16" s="61">
        <v>9083419</v>
      </c>
      <c r="P16" s="37">
        <v>6952433</v>
      </c>
      <c r="Q16" s="123">
        <v>0.30650939030983837</v>
      </c>
    </row>
    <row r="17" spans="2:18" hidden="1" x14ac:dyDescent="0.2">
      <c r="B17" s="137"/>
      <c r="C17" s="65">
        <v>311140</v>
      </c>
      <c r="D17" s="65">
        <v>423186</v>
      </c>
      <c r="E17" s="65">
        <v>384714</v>
      </c>
      <c r="F17" s="65">
        <v>636272</v>
      </c>
      <c r="G17" s="65">
        <v>576976</v>
      </c>
      <c r="H17" s="65">
        <v>516278</v>
      </c>
      <c r="I17" s="65">
        <v>814056</v>
      </c>
      <c r="J17" s="65">
        <v>976199</v>
      </c>
      <c r="K17" s="65">
        <v>554146</v>
      </c>
      <c r="L17" s="65">
        <v>727431</v>
      </c>
      <c r="M17" s="65">
        <v>661352</v>
      </c>
      <c r="N17" s="65">
        <v>370683</v>
      </c>
      <c r="O17" s="66">
        <v>6952433</v>
      </c>
      <c r="P17" s="67"/>
      <c r="Q17" s="103"/>
    </row>
    <row r="18" spans="2:18" s="92" customFormat="1" hidden="1" x14ac:dyDescent="0.2">
      <c r="B18" s="138"/>
      <c r="C18" s="100">
        <v>0.42215401427010346</v>
      </c>
      <c r="D18" s="100">
        <v>-7.6039850089558714E-2</v>
      </c>
      <c r="E18" s="100">
        <v>0.10701716079997081</v>
      </c>
      <c r="F18" s="100">
        <v>0.56833712626046728</v>
      </c>
      <c r="G18" s="100">
        <v>0.59132615568065217</v>
      </c>
      <c r="H18" s="100">
        <v>0.45128399815603215</v>
      </c>
      <c r="I18" s="100">
        <v>0.39063897324017027</v>
      </c>
      <c r="J18" s="100">
        <v>0.38691393865390156</v>
      </c>
      <c r="K18" s="100">
        <v>0.28631263241095306</v>
      </c>
      <c r="L18" s="100">
        <v>0.24747639294998436</v>
      </c>
      <c r="M18" s="100">
        <v>2.0996383166604238E-2</v>
      </c>
      <c r="N18" s="100">
        <v>1.7764504981345297E-2</v>
      </c>
      <c r="O18" s="101">
        <v>0.30650939030983837</v>
      </c>
      <c r="P18" s="102"/>
      <c r="Q18" s="103"/>
    </row>
    <row r="19" spans="2:18" ht="49.5" customHeight="1" thickBot="1" x14ac:dyDescent="0.25">
      <c r="B19" s="136" t="s">
        <v>18</v>
      </c>
      <c r="C19" s="33">
        <v>13574</v>
      </c>
      <c r="D19" s="33">
        <v>12329</v>
      </c>
      <c r="E19" s="33">
        <v>17767</v>
      </c>
      <c r="F19" s="33">
        <v>33135</v>
      </c>
      <c r="G19" s="33">
        <v>96998</v>
      </c>
      <c r="H19" s="33">
        <v>100755</v>
      </c>
      <c r="I19" s="33">
        <v>103621</v>
      </c>
      <c r="J19" s="33">
        <v>153532</v>
      </c>
      <c r="K19" s="33">
        <v>72996</v>
      </c>
      <c r="L19" s="33">
        <v>83337</v>
      </c>
      <c r="M19" s="33">
        <v>55369</v>
      </c>
      <c r="N19" s="33">
        <v>12552</v>
      </c>
      <c r="O19" s="61">
        <v>755965</v>
      </c>
      <c r="P19" s="37">
        <v>448479</v>
      </c>
      <c r="Q19" s="123">
        <v>0.68561961652608039</v>
      </c>
    </row>
    <row r="20" spans="2:18" ht="21.75" hidden="1" thickBot="1" x14ac:dyDescent="0.25">
      <c r="B20" s="150"/>
      <c r="C20" s="65">
        <v>13398</v>
      </c>
      <c r="D20" s="65">
        <v>9098</v>
      </c>
      <c r="E20" s="65">
        <v>14488</v>
      </c>
      <c r="F20" s="65">
        <v>16246</v>
      </c>
      <c r="G20" s="65">
        <v>27574</v>
      </c>
      <c r="H20" s="65">
        <v>54052</v>
      </c>
      <c r="I20" s="65">
        <v>63659</v>
      </c>
      <c r="J20" s="65">
        <v>83923</v>
      </c>
      <c r="K20" s="65">
        <v>50904</v>
      </c>
      <c r="L20" s="65">
        <v>60513</v>
      </c>
      <c r="M20" s="65">
        <v>41093</v>
      </c>
      <c r="N20" s="65">
        <v>13531</v>
      </c>
      <c r="O20" s="66">
        <v>448479</v>
      </c>
      <c r="P20" s="67"/>
      <c r="Q20" s="103"/>
    </row>
    <row r="21" spans="2:18" s="92" customFormat="1" ht="21.75" hidden="1" thickBot="1" x14ac:dyDescent="0.25">
      <c r="B21" s="151"/>
      <c r="C21" s="104">
        <v>1.3136288998357948E-2</v>
      </c>
      <c r="D21" s="104">
        <v>0.35513299626291484</v>
      </c>
      <c r="E21" s="104">
        <v>0.22632523467697396</v>
      </c>
      <c r="F21" s="104">
        <v>1.0395789732857317</v>
      </c>
      <c r="G21" s="104">
        <v>2.5177340973380722</v>
      </c>
      <c r="H21" s="104">
        <v>0.86403833345667125</v>
      </c>
      <c r="I21" s="104">
        <v>0.62775098572079369</v>
      </c>
      <c r="J21" s="104">
        <v>0.82943889041144869</v>
      </c>
      <c r="K21" s="104">
        <v>0.43399339933993408</v>
      </c>
      <c r="L21" s="104">
        <v>0.37717515244658162</v>
      </c>
      <c r="M21" s="104">
        <v>0.34740710096610128</v>
      </c>
      <c r="N21" s="104">
        <v>-7.2352376025423104E-2</v>
      </c>
      <c r="O21" s="104">
        <v>0.68561961652608039</v>
      </c>
      <c r="P21" s="105"/>
      <c r="Q21" s="106"/>
    </row>
    <row r="22" spans="2:18" ht="49.5" customHeight="1" x14ac:dyDescent="0.2">
      <c r="B22" s="44" t="s">
        <v>20</v>
      </c>
      <c r="C22" s="53">
        <v>3511567</v>
      </c>
      <c r="D22" s="53">
        <v>2624835</v>
      </c>
      <c r="E22" s="53">
        <v>3549800</v>
      </c>
      <c r="F22" s="53">
        <v>4612597</v>
      </c>
      <c r="G22" s="53">
        <v>5902742</v>
      </c>
      <c r="H22" s="54">
        <v>4457949</v>
      </c>
      <c r="I22" s="55">
        <v>5235024</v>
      </c>
      <c r="J22" s="53">
        <v>6960669</v>
      </c>
      <c r="K22" s="53">
        <v>4894253</v>
      </c>
      <c r="L22" s="53">
        <v>5817951</v>
      </c>
      <c r="M22" s="53">
        <v>4876044</v>
      </c>
      <c r="N22" s="53">
        <v>2881345</v>
      </c>
      <c r="O22" s="53">
        <v>55324776</v>
      </c>
      <c r="P22" s="45">
        <v>42997139</v>
      </c>
      <c r="Q22" s="127">
        <v>0.28670830866211827</v>
      </c>
    </row>
    <row r="23" spans="2:18" ht="33" hidden="1" customHeight="1" x14ac:dyDescent="0.2">
      <c r="B23" s="70" t="s">
        <v>38</v>
      </c>
      <c r="C23" s="71">
        <v>2434764</v>
      </c>
      <c r="D23" s="71">
        <v>2794573</v>
      </c>
      <c r="E23" s="71">
        <v>3302304</v>
      </c>
      <c r="F23" s="71">
        <v>3416854</v>
      </c>
      <c r="G23" s="71">
        <v>3830914</v>
      </c>
      <c r="H23" s="72">
        <v>3220026</v>
      </c>
      <c r="I23" s="73">
        <v>4028056</v>
      </c>
      <c r="J23" s="71">
        <v>4698523</v>
      </c>
      <c r="K23" s="71">
        <v>3442494</v>
      </c>
      <c r="L23" s="71">
        <v>4372117</v>
      </c>
      <c r="M23" s="71">
        <v>4603312</v>
      </c>
      <c r="N23" s="71">
        <v>2853202</v>
      </c>
      <c r="O23" s="71">
        <v>42997139</v>
      </c>
      <c r="P23" s="74"/>
      <c r="Q23" s="128"/>
    </row>
    <row r="24" spans="2:18" s="92" customFormat="1" ht="49.5" customHeight="1" thickBot="1" x14ac:dyDescent="0.25">
      <c r="B24" s="107" t="s">
        <v>49</v>
      </c>
      <c r="C24" s="108">
        <v>0.44226175514341426</v>
      </c>
      <c r="D24" s="108">
        <v>-6.0738438394702832E-2</v>
      </c>
      <c r="E24" s="108">
        <v>7.4946461621946403E-2</v>
      </c>
      <c r="F24" s="108">
        <v>0.34995437323338963</v>
      </c>
      <c r="G24" s="108">
        <v>0.54081819638864248</v>
      </c>
      <c r="H24" s="109">
        <v>0.38444503243141526</v>
      </c>
      <c r="I24" s="110">
        <v>0.29964032277604868</v>
      </c>
      <c r="J24" s="108">
        <v>0.4814589606137929</v>
      </c>
      <c r="K24" s="108">
        <v>0.42171722013168367</v>
      </c>
      <c r="L24" s="108">
        <v>0.33069426092668608</v>
      </c>
      <c r="M24" s="108">
        <v>5.9246907444031605E-2</v>
      </c>
      <c r="N24" s="108">
        <v>9.8636549392576711E-3</v>
      </c>
      <c r="O24" s="108">
        <v>0.28670830866211827</v>
      </c>
      <c r="P24" s="111" t="s">
        <v>31</v>
      </c>
      <c r="Q24" s="112" t="s">
        <v>32</v>
      </c>
      <c r="R24" s="99"/>
    </row>
    <row r="25" spans="2:18" ht="49.5" customHeight="1" x14ac:dyDescent="0.2">
      <c r="B25" s="27" t="s">
        <v>21</v>
      </c>
      <c r="C25" s="149">
        <v>9686202</v>
      </c>
      <c r="D25" s="149"/>
      <c r="E25" s="149"/>
      <c r="F25" s="149">
        <v>14973288</v>
      </c>
      <c r="G25" s="149"/>
      <c r="H25" s="149"/>
      <c r="I25" s="149">
        <v>17089946</v>
      </c>
      <c r="J25" s="149"/>
      <c r="K25" s="149"/>
      <c r="L25" s="149">
        <v>13575340</v>
      </c>
      <c r="M25" s="149"/>
      <c r="N25" s="149"/>
      <c r="O25" s="15">
        <v>55324776</v>
      </c>
      <c r="P25" s="30"/>
      <c r="Q25" s="43"/>
    </row>
    <row r="26" spans="2:18" ht="39.75" hidden="1" customHeight="1" x14ac:dyDescent="0.2">
      <c r="B26" s="69" t="s">
        <v>39</v>
      </c>
      <c r="C26" s="173">
        <v>8531641</v>
      </c>
      <c r="D26" s="173"/>
      <c r="E26" s="173"/>
      <c r="F26" s="173">
        <v>10467794</v>
      </c>
      <c r="G26" s="173"/>
      <c r="H26" s="173"/>
      <c r="I26" s="173">
        <v>12169073</v>
      </c>
      <c r="J26" s="173"/>
      <c r="K26" s="173"/>
      <c r="L26" s="173">
        <v>11828631</v>
      </c>
      <c r="M26" s="173"/>
      <c r="N26" s="173"/>
      <c r="O26" s="75">
        <v>42997139</v>
      </c>
      <c r="P26" s="30"/>
      <c r="Q26" s="14"/>
    </row>
    <row r="27" spans="2:18" s="92" customFormat="1" ht="49.5" customHeight="1" x14ac:dyDescent="0.2">
      <c r="B27" s="113" t="s">
        <v>49</v>
      </c>
      <c r="C27" s="159">
        <v>0.13532695527155902</v>
      </c>
      <c r="D27" s="159"/>
      <c r="E27" s="159"/>
      <c r="F27" s="159">
        <v>0.43041485149593117</v>
      </c>
      <c r="G27" s="159"/>
      <c r="H27" s="159"/>
      <c r="I27" s="159">
        <v>0.40437533738190257</v>
      </c>
      <c r="J27" s="159"/>
      <c r="K27" s="159"/>
      <c r="L27" s="159">
        <v>0.14766789157595661</v>
      </c>
      <c r="M27" s="159"/>
      <c r="N27" s="159"/>
      <c r="O27" s="129">
        <v>0.28670830866211827</v>
      </c>
      <c r="P27" s="114"/>
      <c r="Q27" s="115"/>
      <c r="R27" s="115"/>
    </row>
    <row r="28" spans="2:18" ht="21" customHeight="1" x14ac:dyDescent="0.2">
      <c r="B28" s="140"/>
      <c r="C28" s="140"/>
      <c r="D28" s="140"/>
      <c r="E28" s="140"/>
      <c r="F28" s="140"/>
      <c r="G28" s="140"/>
      <c r="H28" s="140"/>
      <c r="I28" s="16"/>
      <c r="J28" s="16"/>
      <c r="K28" s="16"/>
      <c r="L28" s="16"/>
      <c r="M28" s="16"/>
      <c r="N28" s="16"/>
      <c r="O28" s="16"/>
      <c r="P28" s="16"/>
      <c r="Q28" s="7"/>
    </row>
    <row r="29" spans="2:18" ht="21" customHeight="1" x14ac:dyDescent="0.2">
      <c r="B29" s="26"/>
      <c r="C29" s="26"/>
      <c r="D29" s="26"/>
      <c r="E29" s="26"/>
      <c r="F29" s="26"/>
      <c r="G29" s="26"/>
      <c r="H29" s="26"/>
      <c r="I29" s="16"/>
      <c r="J29" s="16"/>
      <c r="K29" s="16"/>
      <c r="L29" s="16"/>
      <c r="M29" s="16"/>
      <c r="N29" s="16"/>
      <c r="O29" s="16"/>
      <c r="P29" s="16"/>
      <c r="Q29" s="7"/>
    </row>
    <row r="30" spans="2:18" ht="21" customHeight="1" x14ac:dyDescent="0.2">
      <c r="B30" s="26"/>
      <c r="C30" s="26"/>
      <c r="D30" s="26"/>
      <c r="E30" s="26"/>
      <c r="F30" s="26"/>
      <c r="G30" s="26"/>
      <c r="H30" s="26"/>
      <c r="I30" s="16"/>
      <c r="J30" s="16"/>
      <c r="K30" s="16"/>
      <c r="L30" s="16"/>
      <c r="M30" s="16"/>
      <c r="N30" s="16"/>
      <c r="O30" s="16"/>
      <c r="P30" s="16"/>
      <c r="Q30" s="7"/>
    </row>
    <row r="31" spans="2:18" ht="21" customHeight="1" x14ac:dyDescent="0.2">
      <c r="B31" s="17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7"/>
    </row>
    <row r="32" spans="2:18" s="20" customFormat="1" ht="35.25" customHeight="1" x14ac:dyDescent="0.2">
      <c r="B32" s="172" t="s">
        <v>52</v>
      </c>
      <c r="C32" s="172"/>
      <c r="D32" s="172"/>
      <c r="E32" s="172"/>
      <c r="F32" s="172"/>
      <c r="G32" s="172"/>
      <c r="H32" s="172"/>
      <c r="I32" s="18"/>
      <c r="J32" s="18"/>
      <c r="K32" s="18"/>
      <c r="L32" s="18"/>
      <c r="M32" s="18"/>
      <c r="N32" s="18"/>
      <c r="O32" s="18"/>
      <c r="P32" s="18"/>
      <c r="Q32" s="19"/>
    </row>
    <row r="33" spans="2:17" s="20" customFormat="1" ht="14.25" customHeight="1" x14ac:dyDescent="0.2">
      <c r="B33" s="21"/>
      <c r="C33" s="21"/>
      <c r="D33" s="21"/>
      <c r="E33" s="21"/>
      <c r="F33" s="21"/>
      <c r="G33" s="21"/>
      <c r="H33" s="21"/>
      <c r="I33" s="18"/>
      <c r="J33" s="18"/>
      <c r="K33" s="18"/>
      <c r="L33" s="18"/>
      <c r="M33" s="18"/>
      <c r="N33" s="174"/>
      <c r="O33" s="174"/>
      <c r="P33" s="174" t="s">
        <v>28</v>
      </c>
      <c r="Q33" s="174"/>
    </row>
    <row r="34" spans="2:17" s="20" customFormat="1" ht="21" customHeight="1" x14ac:dyDescent="0.2">
      <c r="B34" s="22"/>
      <c r="N34" s="175"/>
      <c r="O34" s="175"/>
      <c r="P34" s="175"/>
      <c r="Q34" s="175"/>
    </row>
    <row r="35" spans="2:17" s="20" customFormat="1" ht="48" customHeight="1" x14ac:dyDescent="0.2">
      <c r="B35" s="142" t="s">
        <v>53</v>
      </c>
      <c r="C35" s="145" t="s">
        <v>26</v>
      </c>
      <c r="D35" s="146"/>
      <c r="E35" s="146"/>
      <c r="F35" s="146"/>
      <c r="G35" s="146"/>
      <c r="H35" s="147"/>
      <c r="I35" s="145" t="s">
        <v>26</v>
      </c>
      <c r="J35" s="146"/>
      <c r="K35" s="146"/>
      <c r="L35" s="146"/>
      <c r="M35" s="146"/>
      <c r="N35" s="146"/>
      <c r="O35" s="166" t="s">
        <v>66</v>
      </c>
      <c r="P35" s="169" t="s">
        <v>67</v>
      </c>
      <c r="Q35" s="163" t="s">
        <v>50</v>
      </c>
    </row>
    <row r="36" spans="2:17" s="20" customFormat="1" ht="48" customHeight="1" x14ac:dyDescent="0.2">
      <c r="B36" s="143"/>
      <c r="C36" s="165" t="s">
        <v>22</v>
      </c>
      <c r="D36" s="165"/>
      <c r="E36" s="165"/>
      <c r="F36" s="165" t="s">
        <v>23</v>
      </c>
      <c r="G36" s="165"/>
      <c r="H36" s="165"/>
      <c r="I36" s="165" t="s">
        <v>24</v>
      </c>
      <c r="J36" s="165"/>
      <c r="K36" s="165"/>
      <c r="L36" s="165" t="s">
        <v>42</v>
      </c>
      <c r="M36" s="165"/>
      <c r="N36" s="165"/>
      <c r="O36" s="167"/>
      <c r="P36" s="170"/>
      <c r="Q36" s="137"/>
    </row>
    <row r="37" spans="2:17" s="20" customFormat="1" ht="31.5" customHeight="1" thickBot="1" x14ac:dyDescent="0.25">
      <c r="B37" s="144"/>
      <c r="C37" s="32" t="s">
        <v>6</v>
      </c>
      <c r="D37" s="32" t="s">
        <v>7</v>
      </c>
      <c r="E37" s="32" t="s">
        <v>8</v>
      </c>
      <c r="F37" s="32" t="s">
        <v>0</v>
      </c>
      <c r="G37" s="32" t="s">
        <v>1</v>
      </c>
      <c r="H37" s="32" t="s">
        <v>2</v>
      </c>
      <c r="I37" s="32" t="s">
        <v>3</v>
      </c>
      <c r="J37" s="32" t="s">
        <v>4</v>
      </c>
      <c r="K37" s="32" t="s">
        <v>5</v>
      </c>
      <c r="L37" s="32" t="s">
        <v>43</v>
      </c>
      <c r="M37" s="32" t="s">
        <v>44</v>
      </c>
      <c r="N37" s="32" t="s">
        <v>45</v>
      </c>
      <c r="O37" s="168"/>
      <c r="P37" s="171"/>
      <c r="Q37" s="164"/>
    </row>
    <row r="38" spans="2:17" s="20" customFormat="1" ht="49.5" customHeight="1" thickTop="1" x14ac:dyDescent="0.2">
      <c r="B38" s="152" t="s">
        <v>9</v>
      </c>
      <c r="C38" s="132">
        <v>95983</v>
      </c>
      <c r="D38" s="132">
        <v>84932</v>
      </c>
      <c r="E38" s="132">
        <v>112495</v>
      </c>
      <c r="F38" s="132">
        <v>261570</v>
      </c>
      <c r="G38" s="132">
        <v>451593</v>
      </c>
      <c r="H38" s="132">
        <v>364673</v>
      </c>
      <c r="I38" s="132">
        <v>376300</v>
      </c>
      <c r="J38" s="132">
        <v>475952</v>
      </c>
      <c r="K38" s="132">
        <v>331326</v>
      </c>
      <c r="L38" s="132">
        <v>559581</v>
      </c>
      <c r="M38" s="132">
        <v>415287</v>
      </c>
      <c r="N38" s="132">
        <v>112213</v>
      </c>
      <c r="O38" s="76">
        <v>3641905</v>
      </c>
      <c r="P38" s="77">
        <v>3123387</v>
      </c>
      <c r="Q38" s="121">
        <v>0.16601144846924187</v>
      </c>
    </row>
    <row r="39" spans="2:17" s="20" customFormat="1" ht="21" hidden="1" customHeight="1" x14ac:dyDescent="0.2">
      <c r="B39" s="153"/>
      <c r="C39" s="65">
        <v>75811</v>
      </c>
      <c r="D39" s="65">
        <v>105789</v>
      </c>
      <c r="E39" s="65">
        <v>134883</v>
      </c>
      <c r="F39" s="133">
        <v>215162</v>
      </c>
      <c r="G39" s="133">
        <v>295964</v>
      </c>
      <c r="H39" s="133">
        <v>278625</v>
      </c>
      <c r="I39" s="133">
        <v>306384</v>
      </c>
      <c r="J39" s="133">
        <v>382489</v>
      </c>
      <c r="K39" s="133">
        <v>297975</v>
      </c>
      <c r="L39" s="133">
        <v>461974</v>
      </c>
      <c r="M39" s="133">
        <v>448372</v>
      </c>
      <c r="N39" s="133">
        <v>119959</v>
      </c>
      <c r="O39" s="82">
        <v>3123387</v>
      </c>
      <c r="P39" s="83"/>
      <c r="Q39" s="122"/>
    </row>
    <row r="40" spans="2:17" s="92" customFormat="1" ht="21" hidden="1" customHeight="1" x14ac:dyDescent="0.2">
      <c r="B40" s="154"/>
      <c r="C40" s="100">
        <v>0.26608275843874907</v>
      </c>
      <c r="D40" s="100">
        <v>-0.19715660418379988</v>
      </c>
      <c r="E40" s="100">
        <v>-0.16598088713922432</v>
      </c>
      <c r="F40" s="100">
        <v>0.21568864390552234</v>
      </c>
      <c r="G40" s="100">
        <v>0.52583760187049777</v>
      </c>
      <c r="H40" s="100">
        <v>0.30883086585912967</v>
      </c>
      <c r="I40" s="100">
        <v>0.22819729489790586</v>
      </c>
      <c r="J40" s="100">
        <v>0.24435473961342669</v>
      </c>
      <c r="K40" s="100">
        <v>0.11192549710546196</v>
      </c>
      <c r="L40" s="100">
        <v>0.21128245312506766</v>
      </c>
      <c r="M40" s="100">
        <v>-7.3789175059994827E-2</v>
      </c>
      <c r="N40" s="100">
        <v>-6.4572062121224794E-2</v>
      </c>
      <c r="O40" s="100">
        <v>0.16601144846924187</v>
      </c>
      <c r="P40" s="116"/>
      <c r="Q40" s="103"/>
    </row>
    <row r="41" spans="2:17" s="20" customFormat="1" ht="49.5" customHeight="1" x14ac:dyDescent="0.2">
      <c r="B41" s="155" t="s">
        <v>10</v>
      </c>
      <c r="C41" s="134">
        <v>613821</v>
      </c>
      <c r="D41" s="134">
        <v>229466</v>
      </c>
      <c r="E41" s="134">
        <v>479356</v>
      </c>
      <c r="F41" s="134">
        <v>664077</v>
      </c>
      <c r="G41" s="134">
        <v>916091</v>
      </c>
      <c r="H41" s="134">
        <v>635558</v>
      </c>
      <c r="I41" s="134">
        <v>687605</v>
      </c>
      <c r="J41" s="134">
        <v>859741</v>
      </c>
      <c r="K41" s="134">
        <v>755932</v>
      </c>
      <c r="L41" s="134">
        <v>779840</v>
      </c>
      <c r="M41" s="134">
        <v>840230</v>
      </c>
      <c r="N41" s="134">
        <v>321523</v>
      </c>
      <c r="O41" s="40">
        <v>7783240</v>
      </c>
      <c r="P41" s="41">
        <v>6495718</v>
      </c>
      <c r="Q41" s="123">
        <v>0.19821088292318101</v>
      </c>
    </row>
    <row r="42" spans="2:17" s="20" customFormat="1" ht="21" hidden="1" customHeight="1" x14ac:dyDescent="0.2">
      <c r="B42" s="153"/>
      <c r="C42" s="65">
        <v>444662</v>
      </c>
      <c r="D42" s="65">
        <v>328297</v>
      </c>
      <c r="E42" s="65">
        <v>476336</v>
      </c>
      <c r="F42" s="133">
        <v>481797</v>
      </c>
      <c r="G42" s="133">
        <v>595161</v>
      </c>
      <c r="H42" s="133">
        <v>497236</v>
      </c>
      <c r="I42" s="133">
        <v>639970</v>
      </c>
      <c r="J42" s="133">
        <v>682298</v>
      </c>
      <c r="K42" s="133">
        <v>521737</v>
      </c>
      <c r="L42" s="133">
        <v>692055</v>
      </c>
      <c r="M42" s="133">
        <v>803868</v>
      </c>
      <c r="N42" s="133">
        <v>332301</v>
      </c>
      <c r="O42" s="82">
        <v>6495718</v>
      </c>
      <c r="P42" s="83"/>
      <c r="Q42" s="122"/>
    </row>
    <row r="43" spans="2:17" s="92" customFormat="1" ht="21" hidden="1" customHeight="1" x14ac:dyDescent="0.2">
      <c r="B43" s="154"/>
      <c r="C43" s="100">
        <v>0.38042153365927378</v>
      </c>
      <c r="D43" s="100">
        <v>-0.30104143504205039</v>
      </c>
      <c r="E43" s="100">
        <v>6.3400624769069935E-3</v>
      </c>
      <c r="F43" s="100">
        <v>0.37833361353433093</v>
      </c>
      <c r="G43" s="100">
        <v>0.53923224135990089</v>
      </c>
      <c r="H43" s="100">
        <v>0.27818178892920065</v>
      </c>
      <c r="I43" s="100">
        <v>7.4433176555150915E-2</v>
      </c>
      <c r="J43" s="100">
        <v>0.26006671571659301</v>
      </c>
      <c r="K43" s="100">
        <v>0.44887558290863017</v>
      </c>
      <c r="L43" s="100">
        <v>0.12684685465750545</v>
      </c>
      <c r="M43" s="100">
        <v>4.5233794603094069E-2</v>
      </c>
      <c r="N43" s="100">
        <v>-3.2434449490070794E-2</v>
      </c>
      <c r="O43" s="100">
        <v>0.19821088292318101</v>
      </c>
      <c r="P43" s="116"/>
      <c r="Q43" s="103"/>
    </row>
    <row r="44" spans="2:17" s="20" customFormat="1" ht="49.5" customHeight="1" x14ac:dyDescent="0.2">
      <c r="B44" s="155" t="s">
        <v>11</v>
      </c>
      <c r="C44" s="134">
        <v>466109</v>
      </c>
      <c r="D44" s="134">
        <v>420932</v>
      </c>
      <c r="E44" s="134">
        <v>465106</v>
      </c>
      <c r="F44" s="134">
        <v>482701</v>
      </c>
      <c r="G44" s="134">
        <v>565660</v>
      </c>
      <c r="H44" s="134">
        <v>465628</v>
      </c>
      <c r="I44" s="134">
        <v>499504</v>
      </c>
      <c r="J44" s="134">
        <v>638323</v>
      </c>
      <c r="K44" s="134">
        <v>535398</v>
      </c>
      <c r="L44" s="134">
        <v>543352</v>
      </c>
      <c r="M44" s="134">
        <v>492433</v>
      </c>
      <c r="N44" s="134">
        <v>480656</v>
      </c>
      <c r="O44" s="40">
        <v>6055802</v>
      </c>
      <c r="P44" s="41">
        <v>4990008</v>
      </c>
      <c r="Q44" s="123">
        <v>0.21358562952203686</v>
      </c>
    </row>
    <row r="45" spans="2:17" s="20" customFormat="1" hidden="1" x14ac:dyDescent="0.2">
      <c r="B45" s="153"/>
      <c r="C45" s="65">
        <v>331537</v>
      </c>
      <c r="D45" s="65">
        <v>364608</v>
      </c>
      <c r="E45" s="65">
        <v>419346</v>
      </c>
      <c r="F45" s="133">
        <v>368198</v>
      </c>
      <c r="G45" s="133">
        <v>375234</v>
      </c>
      <c r="H45" s="133">
        <v>329675</v>
      </c>
      <c r="I45" s="133">
        <v>431373</v>
      </c>
      <c r="J45" s="133">
        <v>508371</v>
      </c>
      <c r="K45" s="133">
        <v>376231</v>
      </c>
      <c r="L45" s="133">
        <v>480624</v>
      </c>
      <c r="M45" s="133">
        <v>499724</v>
      </c>
      <c r="N45" s="133">
        <v>505087</v>
      </c>
      <c r="O45" s="82">
        <v>4990008</v>
      </c>
      <c r="P45" s="83"/>
      <c r="Q45" s="122"/>
    </row>
    <row r="46" spans="2:17" s="92" customFormat="1" ht="21" hidden="1" customHeight="1" x14ac:dyDescent="0.2">
      <c r="B46" s="154"/>
      <c r="C46" s="100">
        <v>0.40590341349532633</v>
      </c>
      <c r="D46" s="100">
        <v>0.15447823415832884</v>
      </c>
      <c r="E46" s="100">
        <v>0.10912229996232226</v>
      </c>
      <c r="F46" s="100">
        <v>0.31098213461235535</v>
      </c>
      <c r="G46" s="100">
        <v>0.50748599540553352</v>
      </c>
      <c r="H46" s="100">
        <v>0.41238492454690223</v>
      </c>
      <c r="I46" s="100">
        <v>0.1579398803355796</v>
      </c>
      <c r="J46" s="100">
        <v>0.25562433734418377</v>
      </c>
      <c r="K46" s="100">
        <v>0.42305657960136189</v>
      </c>
      <c r="L46" s="100">
        <v>0.13051366556809474</v>
      </c>
      <c r="M46" s="100">
        <v>-1.4590053709647721E-2</v>
      </c>
      <c r="N46" s="100">
        <v>-4.8369884792124895E-2</v>
      </c>
      <c r="O46" s="100">
        <v>0.21358562952203686</v>
      </c>
      <c r="P46" s="116"/>
      <c r="Q46" s="103"/>
    </row>
    <row r="47" spans="2:17" s="20" customFormat="1" ht="49.5" customHeight="1" x14ac:dyDescent="0.2">
      <c r="B47" s="156" t="s">
        <v>46</v>
      </c>
      <c r="C47" s="134">
        <v>1208691</v>
      </c>
      <c r="D47" s="134">
        <v>1138451</v>
      </c>
      <c r="E47" s="134">
        <v>1110383</v>
      </c>
      <c r="F47" s="134">
        <v>718269</v>
      </c>
      <c r="G47" s="134">
        <v>884025</v>
      </c>
      <c r="H47" s="134">
        <v>608277</v>
      </c>
      <c r="I47" s="134">
        <v>889045</v>
      </c>
      <c r="J47" s="134">
        <v>1140955</v>
      </c>
      <c r="K47" s="134">
        <v>628345</v>
      </c>
      <c r="L47" s="134">
        <v>723224</v>
      </c>
      <c r="M47" s="134">
        <v>754507</v>
      </c>
      <c r="N47" s="134">
        <v>560650</v>
      </c>
      <c r="O47" s="40">
        <v>10364822</v>
      </c>
      <c r="P47" s="41">
        <v>8976614</v>
      </c>
      <c r="Q47" s="123">
        <v>0.15464717542717099</v>
      </c>
    </row>
    <row r="48" spans="2:17" s="20" customFormat="1" hidden="1" x14ac:dyDescent="0.2">
      <c r="B48" s="157"/>
      <c r="C48" s="65">
        <v>758613</v>
      </c>
      <c r="D48" s="65">
        <v>1042770</v>
      </c>
      <c r="E48" s="65">
        <v>971077</v>
      </c>
      <c r="F48" s="133">
        <v>569288</v>
      </c>
      <c r="G48" s="133">
        <v>659842</v>
      </c>
      <c r="H48" s="133">
        <v>556555</v>
      </c>
      <c r="I48" s="133">
        <v>875326</v>
      </c>
      <c r="J48" s="133">
        <v>1007535</v>
      </c>
      <c r="K48" s="133">
        <v>546793</v>
      </c>
      <c r="L48" s="133">
        <v>649007</v>
      </c>
      <c r="M48" s="133">
        <v>774348</v>
      </c>
      <c r="N48" s="133">
        <v>565460</v>
      </c>
      <c r="O48" s="82">
        <v>8976614</v>
      </c>
      <c r="P48" s="83"/>
      <c r="Q48" s="122"/>
    </row>
    <row r="49" spans="2:17" s="92" customFormat="1" hidden="1" x14ac:dyDescent="0.2">
      <c r="B49" s="158"/>
      <c r="C49" s="100">
        <v>0.59329065017340854</v>
      </c>
      <c r="D49" s="100">
        <v>9.1756571439531198E-2</v>
      </c>
      <c r="E49" s="100">
        <v>0.14345515340184156</v>
      </c>
      <c r="F49" s="100">
        <v>0.26169706721378283</v>
      </c>
      <c r="G49" s="100">
        <v>0.33975254682181499</v>
      </c>
      <c r="H49" s="100">
        <v>9.2932414586159418E-2</v>
      </c>
      <c r="I49" s="100">
        <v>1.5673017824216373E-2</v>
      </c>
      <c r="J49" s="100">
        <v>0.13242219873255023</v>
      </c>
      <c r="K49" s="100">
        <v>0.14914602052330594</v>
      </c>
      <c r="L49" s="100">
        <v>0.11435469879369564</v>
      </c>
      <c r="M49" s="100">
        <v>-2.562284657544156E-2</v>
      </c>
      <c r="N49" s="100">
        <v>-8.5063488133555465E-3</v>
      </c>
      <c r="O49" s="100">
        <v>0.15464717542717099</v>
      </c>
      <c r="P49" s="116"/>
      <c r="Q49" s="103"/>
    </row>
    <row r="50" spans="2:17" s="20" customFormat="1" ht="49.5" customHeight="1" x14ac:dyDescent="0.2">
      <c r="B50" s="155" t="s">
        <v>12</v>
      </c>
      <c r="C50" s="134">
        <v>823771</v>
      </c>
      <c r="D50" s="134">
        <v>713044</v>
      </c>
      <c r="E50" s="134">
        <v>1161932</v>
      </c>
      <c r="F50" s="134">
        <v>1618512</v>
      </c>
      <c r="G50" s="134">
        <v>2347923</v>
      </c>
      <c r="H50" s="134">
        <v>1607912</v>
      </c>
      <c r="I50" s="134">
        <v>1830947</v>
      </c>
      <c r="J50" s="134">
        <v>2461546</v>
      </c>
      <c r="K50" s="134">
        <v>1791811</v>
      </c>
      <c r="L50" s="134">
        <v>2231677</v>
      </c>
      <c r="M50" s="134">
        <v>2008690</v>
      </c>
      <c r="N50" s="134">
        <v>1277229</v>
      </c>
      <c r="O50" s="40">
        <v>19874994</v>
      </c>
      <c r="P50" s="41">
        <v>16224720</v>
      </c>
      <c r="Q50" s="123">
        <v>0.22498224930846256</v>
      </c>
    </row>
    <row r="51" spans="2:17" s="20" customFormat="1" ht="21" hidden="1" customHeight="1" x14ac:dyDescent="0.2">
      <c r="B51" s="153"/>
      <c r="C51" s="65">
        <v>588837</v>
      </c>
      <c r="D51" s="65">
        <v>852357</v>
      </c>
      <c r="E51" s="65">
        <v>1112288</v>
      </c>
      <c r="F51" s="133">
        <v>1283051</v>
      </c>
      <c r="G51" s="133">
        <v>1577518</v>
      </c>
      <c r="H51" s="133">
        <v>1260864</v>
      </c>
      <c r="I51" s="133">
        <v>1522401</v>
      </c>
      <c r="J51" s="133">
        <v>1772521</v>
      </c>
      <c r="K51" s="133">
        <v>1452446</v>
      </c>
      <c r="L51" s="133">
        <v>1802303</v>
      </c>
      <c r="M51" s="133">
        <v>1825522</v>
      </c>
      <c r="N51" s="133">
        <v>1174612</v>
      </c>
      <c r="O51" s="82">
        <v>16224720</v>
      </c>
      <c r="P51" s="83"/>
      <c r="Q51" s="122"/>
    </row>
    <row r="52" spans="2:17" s="92" customFormat="1" ht="21" hidden="1" customHeight="1" x14ac:dyDescent="0.2">
      <c r="B52" s="154"/>
      <c r="C52" s="100">
        <v>0.39897968368156222</v>
      </c>
      <c r="D52" s="100">
        <v>-0.16344442528189485</v>
      </c>
      <c r="E52" s="100">
        <v>4.4632325440892906E-2</v>
      </c>
      <c r="F52" s="100">
        <v>0.2614557020726378</v>
      </c>
      <c r="G52" s="100">
        <v>0.48836526746446007</v>
      </c>
      <c r="H52" s="100">
        <v>0.27524618039693416</v>
      </c>
      <c r="I52" s="100">
        <v>0.20267064984849581</v>
      </c>
      <c r="J52" s="100">
        <v>0.38872600098955101</v>
      </c>
      <c r="K52" s="100">
        <v>0.23365068305465408</v>
      </c>
      <c r="L52" s="100">
        <v>0.23823630099933246</v>
      </c>
      <c r="M52" s="100">
        <v>0.10033732817243513</v>
      </c>
      <c r="N52" s="100">
        <v>8.7362465222558638E-2</v>
      </c>
      <c r="O52" s="100">
        <v>0.22498224930846256</v>
      </c>
      <c r="P52" s="116"/>
      <c r="Q52" s="103"/>
    </row>
    <row r="53" spans="2:17" s="20" customFormat="1" ht="49.5" customHeight="1" x14ac:dyDescent="0.2">
      <c r="B53" s="155" t="s">
        <v>13</v>
      </c>
      <c r="C53" s="134">
        <v>7381</v>
      </c>
      <c r="D53" s="134">
        <v>7438</v>
      </c>
      <c r="E53" s="134">
        <v>14822</v>
      </c>
      <c r="F53" s="134">
        <v>23720</v>
      </c>
      <c r="G53" s="134">
        <v>35854</v>
      </c>
      <c r="H53" s="134">
        <v>38921</v>
      </c>
      <c r="I53" s="134">
        <v>30670</v>
      </c>
      <c r="J53" s="134">
        <v>28339</v>
      </c>
      <c r="K53" s="134">
        <v>41401</v>
      </c>
      <c r="L53" s="134">
        <v>25264</v>
      </c>
      <c r="M53" s="134">
        <v>17221</v>
      </c>
      <c r="N53" s="134">
        <v>7379</v>
      </c>
      <c r="O53" s="40">
        <v>278410</v>
      </c>
      <c r="P53" s="41">
        <v>245282</v>
      </c>
      <c r="Q53" s="123">
        <v>0.13506086871437772</v>
      </c>
    </row>
    <row r="54" spans="2:17" s="20" customFormat="1" ht="21" hidden="1" customHeight="1" x14ac:dyDescent="0.2">
      <c r="B54" s="161"/>
      <c r="C54" s="65">
        <v>6646</v>
      </c>
      <c r="D54" s="65">
        <v>9916</v>
      </c>
      <c r="E54" s="65">
        <v>13463</v>
      </c>
      <c r="F54" s="133">
        <v>17562</v>
      </c>
      <c r="G54" s="133">
        <v>22267</v>
      </c>
      <c r="H54" s="133">
        <v>24790</v>
      </c>
      <c r="I54" s="133">
        <v>26660</v>
      </c>
      <c r="J54" s="133">
        <v>30025</v>
      </c>
      <c r="K54" s="133">
        <v>30376</v>
      </c>
      <c r="L54" s="133">
        <v>29177</v>
      </c>
      <c r="M54" s="133">
        <v>21994</v>
      </c>
      <c r="N54" s="133">
        <v>12406</v>
      </c>
      <c r="O54" s="82">
        <v>245282</v>
      </c>
      <c r="P54" s="83"/>
      <c r="Q54" s="122"/>
    </row>
    <row r="55" spans="2:17" s="92" customFormat="1" ht="21" hidden="1" customHeight="1" x14ac:dyDescent="0.2">
      <c r="B55" s="154"/>
      <c r="C55" s="100">
        <v>0.11059283779717122</v>
      </c>
      <c r="D55" s="100">
        <v>-0.24989915288422748</v>
      </c>
      <c r="E55" s="100">
        <v>0.10094332615316048</v>
      </c>
      <c r="F55" s="100">
        <v>0.3506434346885321</v>
      </c>
      <c r="G55" s="100">
        <v>0.61018547626532538</v>
      </c>
      <c r="H55" s="100">
        <v>0.57002823719241635</v>
      </c>
      <c r="I55" s="100">
        <v>0.15041260315078775</v>
      </c>
      <c r="J55" s="100">
        <v>-5.6153205661948369E-2</v>
      </c>
      <c r="K55" s="100">
        <v>0.36295101395838825</v>
      </c>
      <c r="L55" s="100">
        <v>-0.13411248586215174</v>
      </c>
      <c r="M55" s="100">
        <v>-0.21701373101755028</v>
      </c>
      <c r="N55" s="100">
        <v>-0.40520715782685801</v>
      </c>
      <c r="O55" s="100">
        <v>0.13506086871437772</v>
      </c>
      <c r="P55" s="116"/>
      <c r="Q55" s="103"/>
    </row>
    <row r="56" spans="2:17" s="20" customFormat="1" ht="49.5" customHeight="1" thickBot="1" x14ac:dyDescent="0.25">
      <c r="B56" s="155" t="s">
        <v>14</v>
      </c>
      <c r="C56" s="134">
        <v>295811</v>
      </c>
      <c r="D56" s="134">
        <v>30572</v>
      </c>
      <c r="E56" s="134">
        <v>205706</v>
      </c>
      <c r="F56" s="134">
        <v>843748</v>
      </c>
      <c r="G56" s="134">
        <v>701596</v>
      </c>
      <c r="H56" s="134">
        <v>736980</v>
      </c>
      <c r="I56" s="134">
        <v>920953</v>
      </c>
      <c r="J56" s="134">
        <v>1355813</v>
      </c>
      <c r="K56" s="134">
        <v>810040</v>
      </c>
      <c r="L56" s="134">
        <v>955013</v>
      </c>
      <c r="M56" s="134">
        <v>347676</v>
      </c>
      <c r="N56" s="134">
        <v>121695</v>
      </c>
      <c r="O56" s="40">
        <v>7325603</v>
      </c>
      <c r="P56" s="41">
        <v>2941410</v>
      </c>
      <c r="Q56" s="123">
        <v>1.4905072737224665</v>
      </c>
    </row>
    <row r="57" spans="2:17" s="20" customFormat="1" ht="21" hidden="1" customHeight="1" x14ac:dyDescent="0.25">
      <c r="B57" s="161"/>
      <c r="C57" s="65">
        <v>228658</v>
      </c>
      <c r="D57" s="65">
        <v>90836</v>
      </c>
      <c r="E57" s="65">
        <v>174911</v>
      </c>
      <c r="F57" s="133">
        <v>481796</v>
      </c>
      <c r="G57" s="133">
        <v>304928</v>
      </c>
      <c r="H57" s="133">
        <v>272281</v>
      </c>
      <c r="I57" s="133">
        <v>225942</v>
      </c>
      <c r="J57" s="133">
        <v>315284</v>
      </c>
      <c r="K57" s="133">
        <v>216936</v>
      </c>
      <c r="L57" s="133">
        <v>256977</v>
      </c>
      <c r="M57" s="133">
        <v>229484</v>
      </c>
      <c r="N57" s="133">
        <v>143377</v>
      </c>
      <c r="O57" s="82">
        <v>2941410</v>
      </c>
      <c r="P57" s="83"/>
      <c r="Q57" s="122"/>
    </row>
    <row r="58" spans="2:17" s="92" customFormat="1" ht="21" hidden="1" customHeight="1" thickBot="1" x14ac:dyDescent="0.25">
      <c r="B58" s="162"/>
      <c r="C58" s="104">
        <v>0.29368314250977434</v>
      </c>
      <c r="D58" s="104">
        <v>-0.66343740367255277</v>
      </c>
      <c r="E58" s="104">
        <v>0.176060968149516</v>
      </c>
      <c r="F58" s="104">
        <v>0.75125571818778081</v>
      </c>
      <c r="G58" s="104">
        <v>1.3008579074404452</v>
      </c>
      <c r="H58" s="104">
        <v>1.7066890455081332</v>
      </c>
      <c r="I58" s="104">
        <v>3.0760593426631617</v>
      </c>
      <c r="J58" s="104">
        <v>3.3002911660598064</v>
      </c>
      <c r="K58" s="104">
        <v>2.7340044990227534</v>
      </c>
      <c r="L58" s="104">
        <v>2.716336481474996</v>
      </c>
      <c r="M58" s="104">
        <v>0.5150337278415924</v>
      </c>
      <c r="N58" s="104">
        <v>-0.15122369696673799</v>
      </c>
      <c r="O58" s="104">
        <v>1.4905072737224665</v>
      </c>
      <c r="P58" s="117"/>
      <c r="Q58" s="118"/>
    </row>
    <row r="59" spans="2:17" s="24" customFormat="1" ht="49.5" customHeight="1" x14ac:dyDescent="0.2">
      <c r="B59" s="44" t="s">
        <v>20</v>
      </c>
      <c r="C59" s="57">
        <v>3511567</v>
      </c>
      <c r="D59" s="57">
        <v>2624835</v>
      </c>
      <c r="E59" s="57">
        <v>3549800</v>
      </c>
      <c r="F59" s="57">
        <v>4612597</v>
      </c>
      <c r="G59" s="57">
        <v>5902742</v>
      </c>
      <c r="H59" s="58">
        <v>4457949</v>
      </c>
      <c r="I59" s="59">
        <v>5235024</v>
      </c>
      <c r="J59" s="57">
        <v>6960669</v>
      </c>
      <c r="K59" s="57">
        <v>4894253</v>
      </c>
      <c r="L59" s="57">
        <v>5817951</v>
      </c>
      <c r="M59" s="57">
        <v>4876044</v>
      </c>
      <c r="N59" s="57">
        <v>2881345</v>
      </c>
      <c r="O59" s="57">
        <v>55324776</v>
      </c>
      <c r="P59" s="46">
        <v>42997139</v>
      </c>
      <c r="Q59" s="124">
        <v>0.28670830866211827</v>
      </c>
    </row>
    <row r="60" spans="2:17" s="24" customFormat="1" ht="44.25" hidden="1" customHeight="1" x14ac:dyDescent="0.2">
      <c r="B60" s="70" t="s">
        <v>38</v>
      </c>
      <c r="C60" s="79">
        <v>2434764</v>
      </c>
      <c r="D60" s="79">
        <v>2794573</v>
      </c>
      <c r="E60" s="79">
        <v>3302304</v>
      </c>
      <c r="F60" s="79">
        <v>3416854</v>
      </c>
      <c r="G60" s="79">
        <v>3830914</v>
      </c>
      <c r="H60" s="80">
        <v>3220026</v>
      </c>
      <c r="I60" s="81">
        <v>4028056</v>
      </c>
      <c r="J60" s="79">
        <v>4698523</v>
      </c>
      <c r="K60" s="79">
        <v>3442494</v>
      </c>
      <c r="L60" s="79">
        <v>4372117</v>
      </c>
      <c r="M60" s="79">
        <v>4603312</v>
      </c>
      <c r="N60" s="79">
        <v>2853202</v>
      </c>
      <c r="O60" s="79">
        <v>42997139</v>
      </c>
      <c r="P60" s="84"/>
      <c r="Q60" s="125"/>
    </row>
    <row r="61" spans="2:17" s="92" customFormat="1" ht="49.5" customHeight="1" thickBot="1" x14ac:dyDescent="0.25">
      <c r="B61" s="107" t="s">
        <v>49</v>
      </c>
      <c r="C61" s="108">
        <v>0.44226175514341426</v>
      </c>
      <c r="D61" s="108">
        <v>-6.0738438394702832E-2</v>
      </c>
      <c r="E61" s="108">
        <v>7.4946461621946403E-2</v>
      </c>
      <c r="F61" s="108">
        <v>0.34995437323338963</v>
      </c>
      <c r="G61" s="108">
        <v>0.54081819638864248</v>
      </c>
      <c r="H61" s="109">
        <v>0.38444503243141526</v>
      </c>
      <c r="I61" s="110">
        <v>0.29964032277604868</v>
      </c>
      <c r="J61" s="108">
        <v>0.4814589606137929</v>
      </c>
      <c r="K61" s="108">
        <v>0.42171722013168367</v>
      </c>
      <c r="L61" s="108">
        <v>0.33069426092668608</v>
      </c>
      <c r="M61" s="108">
        <v>5.9246907444031605E-2</v>
      </c>
      <c r="N61" s="108">
        <v>9.8636549392576711E-3</v>
      </c>
      <c r="O61" s="108">
        <v>0.28670830866211827</v>
      </c>
      <c r="P61" s="111" t="s">
        <v>31</v>
      </c>
      <c r="Q61" s="111" t="s">
        <v>29</v>
      </c>
    </row>
    <row r="62" spans="2:17" s="20" customFormat="1" ht="49.5" customHeight="1" x14ac:dyDescent="0.2">
      <c r="B62" s="42" t="s">
        <v>21</v>
      </c>
      <c r="C62" s="160">
        <v>9686202</v>
      </c>
      <c r="D62" s="160"/>
      <c r="E62" s="160"/>
      <c r="F62" s="160">
        <v>14973288</v>
      </c>
      <c r="G62" s="160"/>
      <c r="H62" s="160"/>
      <c r="I62" s="160">
        <v>17089946</v>
      </c>
      <c r="J62" s="160"/>
      <c r="K62" s="160"/>
      <c r="L62" s="160">
        <v>13575340</v>
      </c>
      <c r="M62" s="160"/>
      <c r="N62" s="160"/>
      <c r="O62" s="31">
        <v>55324776</v>
      </c>
      <c r="P62" s="23"/>
      <c r="Q62" s="25"/>
    </row>
    <row r="63" spans="2:17" s="20" customFormat="1" ht="44.25" hidden="1" customHeight="1" x14ac:dyDescent="0.2">
      <c r="B63" s="78" t="s">
        <v>39</v>
      </c>
      <c r="C63" s="141">
        <v>8531641</v>
      </c>
      <c r="D63" s="141"/>
      <c r="E63" s="141"/>
      <c r="F63" s="141">
        <v>10467794</v>
      </c>
      <c r="G63" s="141"/>
      <c r="H63" s="141"/>
      <c r="I63" s="141">
        <v>12169073</v>
      </c>
      <c r="J63" s="141"/>
      <c r="K63" s="141"/>
      <c r="L63" s="141">
        <v>11828631</v>
      </c>
      <c r="M63" s="141"/>
      <c r="N63" s="141"/>
      <c r="O63" s="79">
        <v>42997139</v>
      </c>
      <c r="P63" s="23"/>
      <c r="Q63" s="25"/>
    </row>
    <row r="64" spans="2:17" s="92" customFormat="1" ht="49.5" customHeight="1" x14ac:dyDescent="0.2">
      <c r="B64" s="119" t="s">
        <v>49</v>
      </c>
      <c r="C64" s="159">
        <v>0.13532695527155902</v>
      </c>
      <c r="D64" s="159"/>
      <c r="E64" s="159"/>
      <c r="F64" s="159">
        <v>0.43041485149593117</v>
      </c>
      <c r="G64" s="159"/>
      <c r="H64" s="159"/>
      <c r="I64" s="159">
        <v>0.40437533738190257</v>
      </c>
      <c r="J64" s="159"/>
      <c r="K64" s="159"/>
      <c r="L64" s="159">
        <v>0.14766789157595661</v>
      </c>
      <c r="M64" s="159"/>
      <c r="N64" s="159"/>
      <c r="O64" s="129">
        <v>0.28670830866211827</v>
      </c>
      <c r="P64" s="115"/>
      <c r="Q64" s="120"/>
    </row>
    <row r="65" spans="2:13" x14ac:dyDescent="0.2">
      <c r="B65" s="140"/>
      <c r="C65" s="140"/>
      <c r="D65" s="140"/>
      <c r="E65" s="140"/>
      <c r="F65" s="140"/>
      <c r="G65" s="140"/>
      <c r="H65" s="140"/>
    </row>
    <row r="69" spans="2:13" ht="24" x14ac:dyDescent="0.25">
      <c r="E69" s="29" t="s">
        <v>47</v>
      </c>
      <c r="M69" s="28" t="s">
        <v>48</v>
      </c>
    </row>
  </sheetData>
  <mergeCells count="63">
    <mergeCell ref="P2:Q3"/>
    <mergeCell ref="P33:Q34"/>
    <mergeCell ref="B1:F1"/>
    <mergeCell ref="B4:B6"/>
    <mergeCell ref="C4:H4"/>
    <mergeCell ref="I4:N4"/>
    <mergeCell ref="O4:O6"/>
    <mergeCell ref="Q4:Q6"/>
    <mergeCell ref="C5:E5"/>
    <mergeCell ref="F5:H5"/>
    <mergeCell ref="I5:K5"/>
    <mergeCell ref="L5:N5"/>
    <mergeCell ref="P4:P6"/>
    <mergeCell ref="B10:B12"/>
    <mergeCell ref="N33:O34"/>
    <mergeCell ref="I27:K27"/>
    <mergeCell ref="L27:N27"/>
    <mergeCell ref="B32:H32"/>
    <mergeCell ref="B28:H28"/>
    <mergeCell ref="I25:K25"/>
    <mergeCell ref="L25:N25"/>
    <mergeCell ref="C26:E26"/>
    <mergeCell ref="F26:H26"/>
    <mergeCell ref="I26:K26"/>
    <mergeCell ref="L26:N26"/>
    <mergeCell ref="F25:H25"/>
    <mergeCell ref="Q35:Q37"/>
    <mergeCell ref="C36:E36"/>
    <mergeCell ref="F36:H36"/>
    <mergeCell ref="I36:K36"/>
    <mergeCell ref="L36:N36"/>
    <mergeCell ref="O35:O37"/>
    <mergeCell ref="P35:P37"/>
    <mergeCell ref="I35:N35"/>
    <mergeCell ref="L62:N62"/>
    <mergeCell ref="C62:E62"/>
    <mergeCell ref="F62:H62"/>
    <mergeCell ref="I62:K62"/>
    <mergeCell ref="B50:B52"/>
    <mergeCell ref="B53:B55"/>
    <mergeCell ref="B56:B58"/>
    <mergeCell ref="I63:K63"/>
    <mergeCell ref="L63:N63"/>
    <mergeCell ref="C64:E64"/>
    <mergeCell ref="F64:H64"/>
    <mergeCell ref="I64:K64"/>
    <mergeCell ref="L64:N64"/>
    <mergeCell ref="B16:B18"/>
    <mergeCell ref="B7:B9"/>
    <mergeCell ref="B65:H65"/>
    <mergeCell ref="C63:E63"/>
    <mergeCell ref="F63:H63"/>
    <mergeCell ref="B35:B37"/>
    <mergeCell ref="C35:H35"/>
    <mergeCell ref="B13:B15"/>
    <mergeCell ref="C25:E25"/>
    <mergeCell ref="B19:B21"/>
    <mergeCell ref="B38:B40"/>
    <mergeCell ref="B41:B43"/>
    <mergeCell ref="B44:B46"/>
    <mergeCell ref="B47:B49"/>
    <mergeCell ref="C27:E27"/>
    <mergeCell ref="F27:H27"/>
  </mergeCells>
  <phoneticPr fontId="2"/>
  <conditionalFormatting sqref="C38:O59">
    <cfRule type="expression" dxfId="1" priority="1">
      <formula>MOD(C69,1)&lt;&gt;0</formula>
    </cfRule>
  </conditionalFormatting>
  <dataValidations count="1">
    <dataValidation type="whole" operator="greaterThanOrEqual" allowBlank="1" showInputMessage="1" showErrorMessage="1" sqref="C7:N19" xr:uid="{00000000-0002-0000-0100-000000000000}">
      <formula1>0</formula1>
    </dataValidation>
  </dataValidations>
  <printOptions horizontalCentered="1"/>
  <pageMargins left="0.25" right="0.25" top="0.75" bottom="0.75" header="0.3" footer="0.3"/>
  <pageSetup paperSize="9" scale="50" firstPageNumber="40" fitToHeight="2" orientation="portrait" useFirstPageNumber="1" r:id="rId1"/>
  <headerFooter alignWithMargins="0">
    <oddHeader xml:space="preserve">&amp;C                </oddHeader>
  </headerFooter>
  <colBreaks count="1" manualBreakCount="1">
    <brk id="8" max="6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2E91-CF68-45C5-A7C4-8413C9765E73}">
  <dimension ref="A1:P87"/>
  <sheetViews>
    <sheetView showGridLines="0" view="pageBreakPreview" zoomScale="40" zoomScaleNormal="50" zoomScaleSheetLayoutView="40" zoomScalePageLayoutView="55" workbookViewId="0"/>
  </sheetViews>
  <sheetFormatPr defaultColWidth="9" defaultRowHeight="13.5" x14ac:dyDescent="0.15"/>
  <cols>
    <col min="1" max="1" width="29.375" style="181" customWidth="1"/>
    <col min="2" max="13" width="18.125" style="181" customWidth="1"/>
    <col min="14" max="15" width="20" style="181" bestFit="1" customWidth="1"/>
    <col min="16" max="16" width="14.375" style="181" customWidth="1"/>
    <col min="17" max="17" width="6.125" style="181" customWidth="1"/>
    <col min="18" max="16384" width="9" style="181"/>
  </cols>
  <sheetData>
    <row r="1" spans="1:16" ht="34.5" customHeight="1" x14ac:dyDescent="0.3">
      <c r="A1" s="178" t="s">
        <v>68</v>
      </c>
      <c r="B1" s="178"/>
      <c r="C1" s="178"/>
      <c r="D1" s="178"/>
      <c r="E1" s="178"/>
      <c r="F1" s="179"/>
      <c r="G1" s="179"/>
      <c r="H1" s="180"/>
      <c r="I1" s="180"/>
      <c r="J1" s="180"/>
      <c r="K1" s="180"/>
      <c r="L1" s="180"/>
      <c r="M1" s="180"/>
      <c r="N1" s="180"/>
      <c r="O1" s="180"/>
    </row>
    <row r="2" spans="1:16" ht="42.75" customHeight="1" x14ac:dyDescent="0.2">
      <c r="A2" s="182"/>
    </row>
    <row r="3" spans="1:16" ht="24" x14ac:dyDescent="0.25">
      <c r="A3" s="183" t="s">
        <v>69</v>
      </c>
      <c r="L3" s="184"/>
      <c r="M3" s="184"/>
      <c r="N3" s="184"/>
      <c r="O3" s="184"/>
      <c r="P3" s="184"/>
    </row>
    <row r="4" spans="1:16" ht="21" customHeight="1" x14ac:dyDescent="0.2">
      <c r="G4" s="185"/>
      <c r="L4" s="186"/>
      <c r="M4" s="186"/>
      <c r="N4" s="186"/>
      <c r="O4" s="186"/>
      <c r="P4" s="187" t="s">
        <v>70</v>
      </c>
    </row>
    <row r="5" spans="1:16" s="195" customFormat="1" ht="23.25" customHeight="1" x14ac:dyDescent="0.2">
      <c r="A5" s="188" t="s">
        <v>71</v>
      </c>
      <c r="B5" s="189" t="s">
        <v>72</v>
      </c>
      <c r="C5" s="189"/>
      <c r="D5" s="189"/>
      <c r="E5" s="189"/>
      <c r="F5" s="189"/>
      <c r="G5" s="189"/>
      <c r="H5" s="190" t="s">
        <v>72</v>
      </c>
      <c r="I5" s="191"/>
      <c r="J5" s="191"/>
      <c r="K5" s="191"/>
      <c r="L5" s="191"/>
      <c r="M5" s="191"/>
      <c r="N5" s="192" t="s">
        <v>65</v>
      </c>
      <c r="O5" s="193" t="s">
        <v>54</v>
      </c>
      <c r="P5" s="194" t="s">
        <v>50</v>
      </c>
    </row>
    <row r="6" spans="1:16" s="195" customFormat="1" ht="23.25" customHeight="1" x14ac:dyDescent="0.2">
      <c r="A6" s="196"/>
      <c r="B6" s="189" t="s">
        <v>22</v>
      </c>
      <c r="C6" s="189"/>
      <c r="D6" s="189"/>
      <c r="E6" s="189" t="s">
        <v>23</v>
      </c>
      <c r="F6" s="189"/>
      <c r="G6" s="189"/>
      <c r="H6" s="189" t="s">
        <v>24</v>
      </c>
      <c r="I6" s="189"/>
      <c r="J6" s="189"/>
      <c r="K6" s="197" t="s">
        <v>42</v>
      </c>
      <c r="L6" s="189"/>
      <c r="M6" s="189"/>
      <c r="N6" s="198"/>
      <c r="O6" s="199"/>
      <c r="P6" s="189"/>
    </row>
    <row r="7" spans="1:16" s="195" customFormat="1" ht="23.25" customHeight="1" thickBot="1" x14ac:dyDescent="0.25">
      <c r="A7" s="200"/>
      <c r="B7" s="201" t="s">
        <v>6</v>
      </c>
      <c r="C7" s="201" t="s">
        <v>7</v>
      </c>
      <c r="D7" s="201" t="s">
        <v>8</v>
      </c>
      <c r="E7" s="201" t="s">
        <v>0</v>
      </c>
      <c r="F7" s="201" t="s">
        <v>1</v>
      </c>
      <c r="G7" s="201" t="s">
        <v>2</v>
      </c>
      <c r="H7" s="201" t="s">
        <v>3</v>
      </c>
      <c r="I7" s="201" t="s">
        <v>4</v>
      </c>
      <c r="J7" s="201" t="s">
        <v>5</v>
      </c>
      <c r="K7" s="201" t="s">
        <v>43</v>
      </c>
      <c r="L7" s="201" t="s">
        <v>44</v>
      </c>
      <c r="M7" s="201" t="s">
        <v>45</v>
      </c>
      <c r="N7" s="202"/>
      <c r="O7" s="203"/>
      <c r="P7" s="204"/>
    </row>
    <row r="8" spans="1:16" s="210" customFormat="1" ht="32.1" customHeight="1" thickTop="1" x14ac:dyDescent="0.15">
      <c r="A8" s="205" t="s">
        <v>37</v>
      </c>
      <c r="B8" s="206">
        <v>72400</v>
      </c>
      <c r="C8" s="206">
        <v>66444</v>
      </c>
      <c r="D8" s="206">
        <v>82918</v>
      </c>
      <c r="E8" s="206">
        <v>166958</v>
      </c>
      <c r="F8" s="206">
        <v>194636</v>
      </c>
      <c r="G8" s="206">
        <v>160542</v>
      </c>
      <c r="H8" s="206">
        <v>150526</v>
      </c>
      <c r="I8" s="206">
        <v>164651</v>
      </c>
      <c r="J8" s="206">
        <v>137042</v>
      </c>
      <c r="K8" s="206">
        <v>209947</v>
      </c>
      <c r="L8" s="206">
        <v>228988</v>
      </c>
      <c r="M8" s="206">
        <v>59259</v>
      </c>
      <c r="N8" s="207">
        <v>1694311</v>
      </c>
      <c r="O8" s="208">
        <v>1652007</v>
      </c>
      <c r="P8" s="209">
        <v>2.5607639677071692E-2</v>
      </c>
    </row>
    <row r="9" spans="1:16" s="210" customFormat="1" ht="32.1" hidden="1" customHeight="1" x14ac:dyDescent="0.15">
      <c r="A9" s="211"/>
      <c r="B9" s="212">
        <v>60141</v>
      </c>
      <c r="C9" s="212">
        <v>86713</v>
      </c>
      <c r="D9" s="212">
        <v>99356</v>
      </c>
      <c r="E9" s="212">
        <v>145852</v>
      </c>
      <c r="F9" s="212">
        <v>137078</v>
      </c>
      <c r="G9" s="212">
        <v>141941</v>
      </c>
      <c r="H9" s="212">
        <v>130845</v>
      </c>
      <c r="I9" s="212">
        <v>144182</v>
      </c>
      <c r="J9" s="212">
        <v>147931</v>
      </c>
      <c r="K9" s="212">
        <v>208041</v>
      </c>
      <c r="L9" s="212">
        <v>274972</v>
      </c>
      <c r="M9" s="212">
        <v>74955</v>
      </c>
      <c r="N9" s="213">
        <v>1652007</v>
      </c>
      <c r="O9" s="214"/>
      <c r="P9" s="215"/>
    </row>
    <row r="10" spans="1:16" s="210" customFormat="1" ht="32.1" hidden="1" customHeight="1" x14ac:dyDescent="0.15">
      <c r="A10" s="211"/>
      <c r="B10" s="216">
        <v>0.2038376481934121</v>
      </c>
      <c r="C10" s="216">
        <v>-0.233748111586498</v>
      </c>
      <c r="D10" s="216">
        <v>-0.16544546881919564</v>
      </c>
      <c r="E10" s="216">
        <v>0.14470833447604425</v>
      </c>
      <c r="F10" s="216">
        <v>0.41989232407826194</v>
      </c>
      <c r="G10" s="216">
        <v>0.13104740702122708</v>
      </c>
      <c r="H10" s="217">
        <v>0.15041461270969458</v>
      </c>
      <c r="I10" s="217">
        <v>0.14196640357326151</v>
      </c>
      <c r="J10" s="217">
        <v>-7.360864186681626E-2</v>
      </c>
      <c r="K10" s="217">
        <v>9.1616556351872269E-3</v>
      </c>
      <c r="L10" s="217">
        <v>-0.16723157266921718</v>
      </c>
      <c r="M10" s="217">
        <v>-0.20940564338603163</v>
      </c>
      <c r="N10" s="216">
        <v>2.5607639677071692E-2</v>
      </c>
      <c r="O10" s="218"/>
      <c r="P10" s="215"/>
    </row>
    <row r="11" spans="1:16" s="210" customFormat="1" ht="32.1" customHeight="1" x14ac:dyDescent="0.15">
      <c r="A11" s="219" t="s">
        <v>15</v>
      </c>
      <c r="B11" s="220">
        <v>9180</v>
      </c>
      <c r="C11" s="220">
        <v>8419</v>
      </c>
      <c r="D11" s="220">
        <v>12676</v>
      </c>
      <c r="E11" s="220">
        <v>34690</v>
      </c>
      <c r="F11" s="220">
        <v>88830</v>
      </c>
      <c r="G11" s="220">
        <v>64482</v>
      </c>
      <c r="H11" s="220">
        <v>57381</v>
      </c>
      <c r="I11" s="220">
        <v>53532</v>
      </c>
      <c r="J11" s="220">
        <v>39140</v>
      </c>
      <c r="K11" s="220">
        <v>54824</v>
      </c>
      <c r="L11" s="220">
        <v>45021</v>
      </c>
      <c r="M11" s="220">
        <v>20469</v>
      </c>
      <c r="N11" s="221">
        <v>488644</v>
      </c>
      <c r="O11" s="208">
        <v>481384</v>
      </c>
      <c r="P11" s="222">
        <v>1.5081514965183729E-2</v>
      </c>
    </row>
    <row r="12" spans="1:16" s="210" customFormat="1" ht="32.1" hidden="1" customHeight="1" x14ac:dyDescent="0.15">
      <c r="A12" s="211"/>
      <c r="B12" s="212">
        <v>5629</v>
      </c>
      <c r="C12" s="212">
        <v>8523</v>
      </c>
      <c r="D12" s="212">
        <v>12193</v>
      </c>
      <c r="E12" s="212">
        <v>40889</v>
      </c>
      <c r="F12" s="212">
        <v>83115</v>
      </c>
      <c r="G12" s="212">
        <v>59193</v>
      </c>
      <c r="H12" s="212">
        <v>48315</v>
      </c>
      <c r="I12" s="212">
        <v>52062</v>
      </c>
      <c r="J12" s="212">
        <v>42401</v>
      </c>
      <c r="K12" s="212">
        <v>57198</v>
      </c>
      <c r="L12" s="212">
        <v>49035</v>
      </c>
      <c r="M12" s="212">
        <v>22831</v>
      </c>
      <c r="N12" s="213">
        <v>481384</v>
      </c>
      <c r="O12" s="214"/>
      <c r="P12" s="215"/>
    </row>
    <row r="13" spans="1:16" s="210" customFormat="1" ht="32.1" hidden="1" customHeight="1" x14ac:dyDescent="0.15">
      <c r="A13" s="211"/>
      <c r="B13" s="216">
        <v>0.63084029134837438</v>
      </c>
      <c r="C13" s="216">
        <v>-1.220227619382841E-2</v>
      </c>
      <c r="D13" s="216">
        <v>3.9612892643319908E-2</v>
      </c>
      <c r="E13" s="216">
        <v>-0.15160556628922206</v>
      </c>
      <c r="F13" s="216">
        <v>6.8760151597184516E-2</v>
      </c>
      <c r="G13" s="216">
        <v>8.9351781460645707E-2</v>
      </c>
      <c r="H13" s="217">
        <v>0.18764358894753186</v>
      </c>
      <c r="I13" s="217">
        <v>2.8235565287541675E-2</v>
      </c>
      <c r="J13" s="217">
        <v>-7.6908563477276481E-2</v>
      </c>
      <c r="K13" s="217">
        <v>-4.1504947725444996E-2</v>
      </c>
      <c r="L13" s="217">
        <v>-8.1859895992658305E-2</v>
      </c>
      <c r="M13" s="217">
        <v>-0.10345582760282068</v>
      </c>
      <c r="N13" s="216">
        <v>1.5081514965183729E-2</v>
      </c>
      <c r="O13" s="218"/>
      <c r="P13" s="215"/>
    </row>
    <row r="14" spans="1:16" s="210" customFormat="1" ht="30.75" customHeight="1" x14ac:dyDescent="0.15">
      <c r="A14" s="219" t="s">
        <v>16</v>
      </c>
      <c r="B14" s="220">
        <v>4853</v>
      </c>
      <c r="C14" s="220">
        <v>1108</v>
      </c>
      <c r="D14" s="220">
        <v>3947</v>
      </c>
      <c r="E14" s="220">
        <v>38042</v>
      </c>
      <c r="F14" s="220">
        <v>101756</v>
      </c>
      <c r="G14" s="220">
        <v>74960</v>
      </c>
      <c r="H14" s="220">
        <v>89778</v>
      </c>
      <c r="I14" s="220">
        <v>130496</v>
      </c>
      <c r="J14" s="220">
        <v>92039</v>
      </c>
      <c r="K14" s="220">
        <v>206815</v>
      </c>
      <c r="L14" s="220">
        <v>102991</v>
      </c>
      <c r="M14" s="220">
        <v>22872</v>
      </c>
      <c r="N14" s="221">
        <v>869657</v>
      </c>
      <c r="O14" s="208">
        <v>616635</v>
      </c>
      <c r="P14" s="222">
        <v>0.41032701679275418</v>
      </c>
    </row>
    <row r="15" spans="1:16" s="210" customFormat="1" ht="32.25" hidden="1" customHeight="1" x14ac:dyDescent="0.15">
      <c r="A15" s="211"/>
      <c r="B15" s="212">
        <v>2743</v>
      </c>
      <c r="C15" s="212">
        <v>1079</v>
      </c>
      <c r="D15" s="212">
        <v>16062</v>
      </c>
      <c r="E15" s="212">
        <v>24471</v>
      </c>
      <c r="F15" s="212">
        <v>58414</v>
      </c>
      <c r="G15" s="212">
        <v>49759</v>
      </c>
      <c r="H15" s="212">
        <v>69235</v>
      </c>
      <c r="I15" s="212">
        <v>86946</v>
      </c>
      <c r="J15" s="212">
        <v>68438</v>
      </c>
      <c r="K15" s="212">
        <v>134008</v>
      </c>
      <c r="L15" s="212">
        <v>89242</v>
      </c>
      <c r="M15" s="212">
        <v>16238</v>
      </c>
      <c r="N15" s="213">
        <v>616635</v>
      </c>
      <c r="O15" s="214"/>
      <c r="P15" s="215"/>
    </row>
    <row r="16" spans="1:16" s="210" customFormat="1" ht="32.1" hidden="1" customHeight="1" x14ac:dyDescent="0.15">
      <c r="A16" s="211"/>
      <c r="B16" s="216">
        <v>0.76923076923076916</v>
      </c>
      <c r="C16" s="216">
        <v>2.6876737720111121E-2</v>
      </c>
      <c r="D16" s="216">
        <v>-0.75426472419374924</v>
      </c>
      <c r="E16" s="216">
        <v>0.554574802827837</v>
      </c>
      <c r="F16" s="216">
        <v>0.74197966240969637</v>
      </c>
      <c r="G16" s="216">
        <v>0.50646114270785181</v>
      </c>
      <c r="H16" s="217">
        <v>0.29671408969451862</v>
      </c>
      <c r="I16" s="217">
        <v>0.5008856071584662</v>
      </c>
      <c r="J16" s="217">
        <v>0.34485227505187166</v>
      </c>
      <c r="K16" s="217">
        <v>0.54330338487254481</v>
      </c>
      <c r="L16" s="217">
        <v>0.15406422984693302</v>
      </c>
      <c r="M16" s="217">
        <v>0.40854785072053201</v>
      </c>
      <c r="N16" s="216">
        <v>0.41032701679275418</v>
      </c>
      <c r="O16" s="218"/>
      <c r="P16" s="215"/>
    </row>
    <row r="17" spans="1:16" s="210" customFormat="1" ht="32.1" customHeight="1" x14ac:dyDescent="0.15">
      <c r="A17" s="219" t="s">
        <v>17</v>
      </c>
      <c r="B17" s="220">
        <v>9330</v>
      </c>
      <c r="C17" s="220">
        <v>8900</v>
      </c>
      <c r="D17" s="220">
        <v>12060</v>
      </c>
      <c r="E17" s="220">
        <v>17270</v>
      </c>
      <c r="F17" s="220">
        <v>46480</v>
      </c>
      <c r="G17" s="220">
        <v>42740</v>
      </c>
      <c r="H17" s="220">
        <v>60690</v>
      </c>
      <c r="I17" s="220">
        <v>104790</v>
      </c>
      <c r="J17" s="220">
        <v>47477</v>
      </c>
      <c r="K17" s="220">
        <v>69321</v>
      </c>
      <c r="L17" s="220">
        <v>30540</v>
      </c>
      <c r="M17" s="220">
        <v>9240</v>
      </c>
      <c r="N17" s="221">
        <v>458838</v>
      </c>
      <c r="O17" s="208">
        <v>301313</v>
      </c>
      <c r="P17" s="222">
        <v>0.52279523286416452</v>
      </c>
    </row>
    <row r="18" spans="1:16" s="210" customFormat="1" ht="31.5" hidden="1" customHeight="1" x14ac:dyDescent="0.15">
      <c r="A18" s="211"/>
      <c r="B18" s="212">
        <v>7250</v>
      </c>
      <c r="C18" s="212">
        <v>9300</v>
      </c>
      <c r="D18" s="212">
        <v>6710</v>
      </c>
      <c r="E18" s="212">
        <v>2330</v>
      </c>
      <c r="F18" s="212">
        <v>14370</v>
      </c>
      <c r="G18" s="212">
        <v>19504</v>
      </c>
      <c r="H18" s="212">
        <v>46074</v>
      </c>
      <c r="I18" s="212">
        <v>84984</v>
      </c>
      <c r="J18" s="212">
        <v>28955</v>
      </c>
      <c r="K18" s="212">
        <v>48166</v>
      </c>
      <c r="L18" s="212">
        <v>28140</v>
      </c>
      <c r="M18" s="212">
        <v>5530</v>
      </c>
      <c r="N18" s="213">
        <v>301313</v>
      </c>
      <c r="O18" s="214"/>
      <c r="P18" s="215"/>
    </row>
    <row r="19" spans="1:16" s="210" customFormat="1" ht="32.1" hidden="1" customHeight="1" x14ac:dyDescent="0.15">
      <c r="A19" s="211"/>
      <c r="B19" s="216">
        <v>0.28689655172413797</v>
      </c>
      <c r="C19" s="216">
        <v>-4.3010752688172005E-2</v>
      </c>
      <c r="D19" s="216">
        <v>0.79731743666169885</v>
      </c>
      <c r="E19" s="216">
        <v>6.4120171673819746</v>
      </c>
      <c r="F19" s="216">
        <v>2.234516353514266</v>
      </c>
      <c r="G19" s="216">
        <v>1.1913453650533223</v>
      </c>
      <c r="H19" s="217">
        <v>0.31722880583409307</v>
      </c>
      <c r="I19" s="217">
        <v>0.23305563400169449</v>
      </c>
      <c r="J19" s="217">
        <v>0.63968226558452779</v>
      </c>
      <c r="K19" s="217">
        <v>0.43921023128347803</v>
      </c>
      <c r="L19" s="217">
        <v>8.5287846481876262E-2</v>
      </c>
      <c r="M19" s="217">
        <v>0.67088607594936711</v>
      </c>
      <c r="N19" s="216">
        <v>0.52279523286416452</v>
      </c>
      <c r="O19" s="218"/>
      <c r="P19" s="215"/>
    </row>
    <row r="20" spans="1:16" s="210" customFormat="1" ht="32.1" customHeight="1" thickBot="1" x14ac:dyDescent="0.2">
      <c r="A20" s="223" t="s">
        <v>18</v>
      </c>
      <c r="B20" s="224">
        <v>220</v>
      </c>
      <c r="C20" s="224">
        <v>61</v>
      </c>
      <c r="D20" s="224">
        <v>894</v>
      </c>
      <c r="E20" s="224">
        <v>4610</v>
      </c>
      <c r="F20" s="224">
        <v>19891</v>
      </c>
      <c r="G20" s="224">
        <v>21949</v>
      </c>
      <c r="H20" s="224">
        <v>17925</v>
      </c>
      <c r="I20" s="224">
        <v>22483</v>
      </c>
      <c r="J20" s="224">
        <v>15628</v>
      </c>
      <c r="K20" s="224">
        <v>18674</v>
      </c>
      <c r="L20" s="224">
        <v>7747</v>
      </c>
      <c r="M20" s="224">
        <v>373</v>
      </c>
      <c r="N20" s="225">
        <v>130455</v>
      </c>
      <c r="O20" s="226">
        <v>72048</v>
      </c>
      <c r="P20" s="227">
        <v>0.81066788807461698</v>
      </c>
    </row>
    <row r="21" spans="1:16" s="210" customFormat="1" ht="32.1" hidden="1" customHeight="1" thickTop="1" x14ac:dyDescent="0.15">
      <c r="A21" s="228"/>
      <c r="B21" s="229">
        <v>48</v>
      </c>
      <c r="C21" s="229">
        <v>174</v>
      </c>
      <c r="D21" s="229">
        <v>562</v>
      </c>
      <c r="E21" s="229">
        <v>1620</v>
      </c>
      <c r="F21" s="229">
        <v>2987</v>
      </c>
      <c r="G21" s="229">
        <v>8228</v>
      </c>
      <c r="H21" s="229">
        <v>11915</v>
      </c>
      <c r="I21" s="229">
        <v>14315</v>
      </c>
      <c r="J21" s="229">
        <v>10250</v>
      </c>
      <c r="K21" s="229">
        <v>14561</v>
      </c>
      <c r="L21" s="229">
        <v>6983</v>
      </c>
      <c r="M21" s="229">
        <v>405</v>
      </c>
      <c r="N21" s="230">
        <v>72048</v>
      </c>
      <c r="O21" s="231"/>
      <c r="P21" s="232"/>
    </row>
    <row r="22" spans="1:16" s="210" customFormat="1" ht="32.1" hidden="1" customHeight="1" thickBot="1" x14ac:dyDescent="0.2">
      <c r="A22" s="233"/>
      <c r="B22" s="216">
        <v>3.583333333333333</v>
      </c>
      <c r="C22" s="216">
        <v>-0.64942528735632177</v>
      </c>
      <c r="D22" s="216">
        <v>0.59074733096085419</v>
      </c>
      <c r="E22" s="216">
        <v>1.8456790123456792</v>
      </c>
      <c r="F22" s="216">
        <v>5.6591898225644464</v>
      </c>
      <c r="G22" s="216">
        <v>1.6675984443364125</v>
      </c>
      <c r="H22" s="217">
        <v>0.5044062106588334</v>
      </c>
      <c r="I22" s="217">
        <v>0.57059028990569338</v>
      </c>
      <c r="J22" s="217">
        <v>0.52468292682926831</v>
      </c>
      <c r="K22" s="217">
        <v>0.28246686353959216</v>
      </c>
      <c r="L22" s="217">
        <v>0.10940856365458962</v>
      </c>
      <c r="M22" s="217">
        <v>-7.9012345679012386E-2</v>
      </c>
      <c r="N22" s="216">
        <v>0.81066788807461698</v>
      </c>
      <c r="O22" s="218"/>
      <c r="P22" s="215"/>
    </row>
    <row r="23" spans="1:16" s="210" customFormat="1" ht="32.1" customHeight="1" thickTop="1" x14ac:dyDescent="0.15">
      <c r="A23" s="234" t="s">
        <v>20</v>
      </c>
      <c r="B23" s="221">
        <v>95983</v>
      </c>
      <c r="C23" s="235">
        <v>84932</v>
      </c>
      <c r="D23" s="221">
        <v>112495</v>
      </c>
      <c r="E23" s="221">
        <v>261570</v>
      </c>
      <c r="F23" s="221">
        <v>451593</v>
      </c>
      <c r="G23" s="221">
        <v>364673</v>
      </c>
      <c r="H23" s="236">
        <v>376300</v>
      </c>
      <c r="I23" s="236">
        <v>475952</v>
      </c>
      <c r="J23" s="236">
        <v>331326</v>
      </c>
      <c r="K23" s="236">
        <v>559581</v>
      </c>
      <c r="L23" s="236">
        <v>415287</v>
      </c>
      <c r="M23" s="236">
        <v>112213</v>
      </c>
      <c r="N23" s="221">
        <v>3641905</v>
      </c>
      <c r="O23" s="237">
        <v>3123387</v>
      </c>
      <c r="P23" s="222">
        <v>0.16601144846924187</v>
      </c>
    </row>
    <row r="24" spans="1:16" s="210" customFormat="1" ht="32.1" hidden="1" customHeight="1" x14ac:dyDescent="0.15">
      <c r="A24" s="238"/>
      <c r="B24" s="213">
        <v>75811</v>
      </c>
      <c r="C24" s="239">
        <v>105789</v>
      </c>
      <c r="D24" s="213">
        <v>134883</v>
      </c>
      <c r="E24" s="213">
        <v>215162</v>
      </c>
      <c r="F24" s="213">
        <v>295964</v>
      </c>
      <c r="G24" s="213">
        <v>278625</v>
      </c>
      <c r="H24" s="213">
        <v>306384</v>
      </c>
      <c r="I24" s="213">
        <v>382489</v>
      </c>
      <c r="J24" s="213">
        <v>297975</v>
      </c>
      <c r="K24" s="213">
        <v>461974</v>
      </c>
      <c r="L24" s="213">
        <v>448372</v>
      </c>
      <c r="M24" s="213">
        <v>119959</v>
      </c>
      <c r="N24" s="213">
        <v>3123387</v>
      </c>
      <c r="O24" s="213">
        <v>0</v>
      </c>
    </row>
    <row r="25" spans="1:16" s="210" customFormat="1" ht="32.1" customHeight="1" x14ac:dyDescent="0.15">
      <c r="A25" s="219" t="s">
        <v>49</v>
      </c>
      <c r="B25" s="135">
        <v>0.26608275843874907</v>
      </c>
      <c r="C25" s="135">
        <v>-0.19715660418379988</v>
      </c>
      <c r="D25" s="135">
        <v>-0.16598088713922432</v>
      </c>
      <c r="E25" s="135">
        <v>0.21568864390552234</v>
      </c>
      <c r="F25" s="135">
        <v>0.52583760187049777</v>
      </c>
      <c r="G25" s="135">
        <v>0.30883086585912967</v>
      </c>
      <c r="H25" s="135">
        <v>0.22819729489790586</v>
      </c>
      <c r="I25" s="135">
        <v>0.24435473961342669</v>
      </c>
      <c r="J25" s="135">
        <v>0.11192549710546196</v>
      </c>
      <c r="K25" s="135">
        <v>0.21128245312506766</v>
      </c>
      <c r="L25" s="135">
        <v>-7.3789175059994827E-2</v>
      </c>
      <c r="M25" s="135">
        <v>-6.4572062121224794E-2</v>
      </c>
      <c r="N25" s="135">
        <v>0.16601144846924187</v>
      </c>
      <c r="O25" s="240"/>
    </row>
    <row r="26" spans="1:16" s="210" customFormat="1" ht="32.1" customHeight="1" x14ac:dyDescent="0.15">
      <c r="A26" s="219" t="s">
        <v>21</v>
      </c>
      <c r="B26" s="241">
        <v>293410</v>
      </c>
      <c r="C26" s="241"/>
      <c r="D26" s="241"/>
      <c r="E26" s="241">
        <v>1077836</v>
      </c>
      <c r="F26" s="241"/>
      <c r="G26" s="241"/>
      <c r="H26" s="241">
        <v>1183578</v>
      </c>
      <c r="I26" s="241"/>
      <c r="J26" s="241"/>
      <c r="K26" s="241">
        <v>1087081</v>
      </c>
      <c r="L26" s="241"/>
      <c r="M26" s="241"/>
      <c r="N26" s="242"/>
      <c r="O26" s="243"/>
    </row>
    <row r="27" spans="1:16" s="210" customFormat="1" ht="32.1" hidden="1" customHeight="1" x14ac:dyDescent="0.15">
      <c r="A27" s="211" t="s">
        <v>73</v>
      </c>
      <c r="B27" s="244">
        <v>316483</v>
      </c>
      <c r="C27" s="244"/>
      <c r="D27" s="244"/>
      <c r="E27" s="244">
        <v>789751</v>
      </c>
      <c r="F27" s="244"/>
      <c r="G27" s="244"/>
      <c r="H27" s="244">
        <v>986848</v>
      </c>
      <c r="I27" s="244"/>
      <c r="J27" s="244"/>
      <c r="K27" s="244">
        <v>1030305</v>
      </c>
      <c r="L27" s="244"/>
      <c r="M27" s="244"/>
      <c r="N27" s="242"/>
      <c r="O27" s="243"/>
    </row>
    <row r="28" spans="1:16" s="210" customFormat="1" ht="32.1" customHeight="1" x14ac:dyDescent="0.15">
      <c r="A28" s="219" t="s">
        <v>49</v>
      </c>
      <c r="B28" s="159">
        <v>-7.2904389809247294E-2</v>
      </c>
      <c r="C28" s="159"/>
      <c r="D28" s="159"/>
      <c r="E28" s="159">
        <v>0.36477953177647127</v>
      </c>
      <c r="F28" s="159"/>
      <c r="G28" s="159"/>
      <c r="H28" s="159">
        <v>0.19935187587146141</v>
      </c>
      <c r="I28" s="159"/>
      <c r="J28" s="159"/>
      <c r="K28" s="159">
        <v>5.5106012297329476E-2</v>
      </c>
      <c r="L28" s="159"/>
      <c r="M28" s="159"/>
      <c r="N28" s="245"/>
      <c r="O28" s="246"/>
    </row>
    <row r="29" spans="1:16" s="195" customFormat="1" ht="21" x14ac:dyDescent="0.2">
      <c r="A29" s="247"/>
      <c r="B29" s="248"/>
      <c r="C29" s="248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</row>
    <row r="30" spans="1:16" s="195" customFormat="1" ht="21" x14ac:dyDescent="0.2">
      <c r="A30" s="250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2"/>
      <c r="O30" s="252"/>
    </row>
    <row r="31" spans="1:16" s="195" customFormat="1" ht="24" x14ac:dyDescent="0.25">
      <c r="A31" s="183" t="s">
        <v>74</v>
      </c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184"/>
      <c r="P31" s="184"/>
    </row>
    <row r="32" spans="1:16" s="195" customFormat="1" ht="21" x14ac:dyDescent="0.2">
      <c r="B32" s="253"/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186"/>
      <c r="P32" s="187" t="s">
        <v>70</v>
      </c>
    </row>
    <row r="33" spans="1:16" s="195" customFormat="1" ht="24" customHeight="1" x14ac:dyDescent="0.2">
      <c r="A33" s="188" t="s">
        <v>71</v>
      </c>
      <c r="B33" s="254" t="s">
        <v>72</v>
      </c>
      <c r="C33" s="254"/>
      <c r="D33" s="254"/>
      <c r="E33" s="254"/>
      <c r="F33" s="254"/>
      <c r="G33" s="254"/>
      <c r="H33" s="190" t="s">
        <v>72</v>
      </c>
      <c r="I33" s="191"/>
      <c r="J33" s="191"/>
      <c r="K33" s="191"/>
      <c r="L33" s="191"/>
      <c r="M33" s="191"/>
      <c r="N33" s="192" t="s">
        <v>66</v>
      </c>
      <c r="O33" s="193" t="s">
        <v>67</v>
      </c>
      <c r="P33" s="255" t="s">
        <v>50</v>
      </c>
    </row>
    <row r="34" spans="1:16" s="195" customFormat="1" ht="24" customHeight="1" x14ac:dyDescent="0.2">
      <c r="A34" s="196"/>
      <c r="B34" s="254" t="s">
        <v>22</v>
      </c>
      <c r="C34" s="254"/>
      <c r="D34" s="254"/>
      <c r="E34" s="254" t="s">
        <v>23</v>
      </c>
      <c r="F34" s="254"/>
      <c r="G34" s="254"/>
      <c r="H34" s="189" t="s">
        <v>24</v>
      </c>
      <c r="I34" s="189"/>
      <c r="J34" s="189"/>
      <c r="K34" s="197" t="s">
        <v>42</v>
      </c>
      <c r="L34" s="189"/>
      <c r="M34" s="189"/>
      <c r="N34" s="198"/>
      <c r="O34" s="199"/>
      <c r="P34" s="256"/>
    </row>
    <row r="35" spans="1:16" s="195" customFormat="1" ht="24" customHeight="1" thickBot="1" x14ac:dyDescent="0.25">
      <c r="A35" s="200"/>
      <c r="B35" s="257" t="s">
        <v>6</v>
      </c>
      <c r="C35" s="257" t="s">
        <v>7</v>
      </c>
      <c r="D35" s="257" t="s">
        <v>8</v>
      </c>
      <c r="E35" s="257" t="s">
        <v>0</v>
      </c>
      <c r="F35" s="257" t="s">
        <v>1</v>
      </c>
      <c r="G35" s="257" t="s">
        <v>2</v>
      </c>
      <c r="H35" s="201" t="s">
        <v>3</v>
      </c>
      <c r="I35" s="201" t="s">
        <v>4</v>
      </c>
      <c r="J35" s="201" t="s">
        <v>5</v>
      </c>
      <c r="K35" s="201" t="s">
        <v>43</v>
      </c>
      <c r="L35" s="201" t="s">
        <v>44</v>
      </c>
      <c r="M35" s="201" t="s">
        <v>45</v>
      </c>
      <c r="N35" s="202"/>
      <c r="O35" s="203"/>
      <c r="P35" s="258"/>
    </row>
    <row r="36" spans="1:16" s="210" customFormat="1" ht="32.1" customHeight="1" thickTop="1" x14ac:dyDescent="0.15">
      <c r="A36" s="205" t="s">
        <v>37</v>
      </c>
      <c r="B36" s="206">
        <v>530456</v>
      </c>
      <c r="C36" s="206">
        <v>156896</v>
      </c>
      <c r="D36" s="206">
        <v>333569</v>
      </c>
      <c r="E36" s="206">
        <v>415648</v>
      </c>
      <c r="F36" s="206">
        <v>506945</v>
      </c>
      <c r="G36" s="206">
        <v>332157</v>
      </c>
      <c r="H36" s="206">
        <v>371803</v>
      </c>
      <c r="I36" s="206">
        <v>442480</v>
      </c>
      <c r="J36" s="206">
        <v>431911</v>
      </c>
      <c r="K36" s="206">
        <v>411606</v>
      </c>
      <c r="L36" s="206">
        <v>489155</v>
      </c>
      <c r="M36" s="206">
        <v>226878</v>
      </c>
      <c r="N36" s="207">
        <v>4649504</v>
      </c>
      <c r="O36" s="208">
        <v>4048862</v>
      </c>
      <c r="P36" s="259">
        <v>0.14834835072175845</v>
      </c>
    </row>
    <row r="37" spans="1:16" s="210" customFormat="1" ht="32.1" hidden="1" customHeight="1" x14ac:dyDescent="0.15">
      <c r="A37" s="211"/>
      <c r="B37" s="212">
        <v>382956</v>
      </c>
      <c r="C37" s="212">
        <v>234864</v>
      </c>
      <c r="D37" s="212">
        <v>341412</v>
      </c>
      <c r="E37" s="212">
        <v>303176</v>
      </c>
      <c r="F37" s="212">
        <v>368570</v>
      </c>
      <c r="G37" s="212">
        <v>275048</v>
      </c>
      <c r="H37" s="212">
        <v>371740</v>
      </c>
      <c r="I37" s="212">
        <v>395793</v>
      </c>
      <c r="J37" s="212">
        <v>327457</v>
      </c>
      <c r="K37" s="212">
        <v>372838</v>
      </c>
      <c r="L37" s="212">
        <v>445787</v>
      </c>
      <c r="M37" s="212">
        <v>229221</v>
      </c>
      <c r="N37" s="213">
        <v>4048862</v>
      </c>
      <c r="O37" s="214"/>
      <c r="P37" s="260"/>
    </row>
    <row r="38" spans="1:16" s="210" customFormat="1" ht="32.1" hidden="1" customHeight="1" x14ac:dyDescent="0.15">
      <c r="A38" s="211"/>
      <c r="B38" s="216">
        <v>0.3851617418189035</v>
      </c>
      <c r="C38" s="216">
        <v>-0.3319708427004564</v>
      </c>
      <c r="D38" s="216">
        <v>-2.2972244677984421E-2</v>
      </c>
      <c r="E38" s="216">
        <v>0.37097923318468484</v>
      </c>
      <c r="F38" s="216">
        <v>0.37543750169574297</v>
      </c>
      <c r="G38" s="216">
        <v>0.20763284953898964</v>
      </c>
      <c r="H38" s="216">
        <v>1.6947328778171844E-4</v>
      </c>
      <c r="I38" s="216">
        <v>0.11795812457521992</v>
      </c>
      <c r="J38" s="216">
        <v>0.31898539350204769</v>
      </c>
      <c r="K38" s="216">
        <v>0.10398081740595111</v>
      </c>
      <c r="L38" s="216">
        <v>9.7284128967421557E-2</v>
      </c>
      <c r="M38" s="216">
        <v>-1.0221576557121748E-2</v>
      </c>
      <c r="N38" s="216">
        <v>0.14834835072175845</v>
      </c>
      <c r="O38" s="218"/>
      <c r="P38" s="260"/>
    </row>
    <row r="39" spans="1:16" s="210" customFormat="1" ht="32.1" customHeight="1" x14ac:dyDescent="0.15">
      <c r="A39" s="219" t="s">
        <v>15</v>
      </c>
      <c r="B39" s="220">
        <v>49279</v>
      </c>
      <c r="C39" s="220">
        <v>45021</v>
      </c>
      <c r="D39" s="220">
        <v>79641</v>
      </c>
      <c r="E39" s="220">
        <v>104776</v>
      </c>
      <c r="F39" s="220">
        <v>175675</v>
      </c>
      <c r="G39" s="220">
        <v>133994</v>
      </c>
      <c r="H39" s="220">
        <v>106498</v>
      </c>
      <c r="I39" s="220">
        <v>126180</v>
      </c>
      <c r="J39" s="220">
        <v>125831</v>
      </c>
      <c r="K39" s="220">
        <v>158290</v>
      </c>
      <c r="L39" s="220">
        <v>199709</v>
      </c>
      <c r="M39" s="220">
        <v>54405</v>
      </c>
      <c r="N39" s="221">
        <v>1359299</v>
      </c>
      <c r="O39" s="237">
        <v>1156707</v>
      </c>
      <c r="P39" s="261">
        <v>0.17514547763608235</v>
      </c>
    </row>
    <row r="40" spans="1:16" s="210" customFormat="1" ht="32.1" hidden="1" customHeight="1" x14ac:dyDescent="0.15">
      <c r="A40" s="211"/>
      <c r="B40" s="212">
        <v>41159</v>
      </c>
      <c r="C40" s="212">
        <v>60410</v>
      </c>
      <c r="D40" s="212">
        <v>74939</v>
      </c>
      <c r="E40" s="212">
        <v>85606</v>
      </c>
      <c r="F40" s="212">
        <v>117707</v>
      </c>
      <c r="G40" s="212">
        <v>111554</v>
      </c>
      <c r="H40" s="212">
        <v>99966</v>
      </c>
      <c r="I40" s="212">
        <v>96509</v>
      </c>
      <c r="J40" s="212">
        <v>74075</v>
      </c>
      <c r="K40" s="212">
        <v>134459</v>
      </c>
      <c r="L40" s="212">
        <v>204631</v>
      </c>
      <c r="M40" s="212">
        <v>55692</v>
      </c>
      <c r="N40" s="213">
        <v>1156707</v>
      </c>
      <c r="O40" s="214"/>
      <c r="P40" s="260"/>
    </row>
    <row r="41" spans="1:16" s="210" customFormat="1" ht="32.1" hidden="1" customHeight="1" x14ac:dyDescent="0.15">
      <c r="A41" s="211"/>
      <c r="B41" s="216">
        <v>0.19728370465754752</v>
      </c>
      <c r="C41" s="216">
        <v>-0.25474259228604534</v>
      </c>
      <c r="D41" s="216">
        <v>6.2744365417205961E-2</v>
      </c>
      <c r="E41" s="216">
        <v>0.22393290189939963</v>
      </c>
      <c r="F41" s="216">
        <v>0.49247708292624903</v>
      </c>
      <c r="G41" s="216">
        <v>0.20115818348064618</v>
      </c>
      <c r="H41" s="216">
        <v>6.534221635356019E-2</v>
      </c>
      <c r="I41" s="216">
        <v>0.3074428291661917</v>
      </c>
      <c r="J41" s="216">
        <v>0.6986972662841715</v>
      </c>
      <c r="K41" s="216">
        <v>0.17723618352062709</v>
      </c>
      <c r="L41" s="216">
        <v>-2.4053051590423702E-2</v>
      </c>
      <c r="M41" s="216">
        <v>-2.3109243697479021E-2</v>
      </c>
      <c r="N41" s="216">
        <v>0.17514547763608235</v>
      </c>
      <c r="O41" s="218"/>
      <c r="P41" s="260"/>
    </row>
    <row r="42" spans="1:16" s="210" customFormat="1" ht="32.1" customHeight="1" x14ac:dyDescent="0.15">
      <c r="A42" s="219" t="s">
        <v>16</v>
      </c>
      <c r="B42" s="220">
        <v>9854</v>
      </c>
      <c r="C42" s="220">
        <v>6957</v>
      </c>
      <c r="D42" s="220">
        <v>13044</v>
      </c>
      <c r="E42" s="220">
        <v>17492</v>
      </c>
      <c r="F42" s="220">
        <v>41029</v>
      </c>
      <c r="G42" s="220">
        <v>27686</v>
      </c>
      <c r="H42" s="220">
        <v>37518</v>
      </c>
      <c r="I42" s="220">
        <v>62098</v>
      </c>
      <c r="J42" s="220">
        <v>47943</v>
      </c>
      <c r="K42" s="220">
        <v>55211</v>
      </c>
      <c r="L42" s="220">
        <v>42244</v>
      </c>
      <c r="M42" s="220">
        <v>10153</v>
      </c>
      <c r="N42" s="221">
        <v>371229</v>
      </c>
      <c r="O42" s="237">
        <v>217702</v>
      </c>
      <c r="P42" s="261">
        <v>0.7052163048570983</v>
      </c>
    </row>
    <row r="43" spans="1:16" s="210" customFormat="1" ht="32.1" hidden="1" customHeight="1" x14ac:dyDescent="0.15">
      <c r="A43" s="211"/>
      <c r="B43" s="212">
        <v>5056</v>
      </c>
      <c r="C43" s="212">
        <v>7186</v>
      </c>
      <c r="D43" s="212">
        <v>10377</v>
      </c>
      <c r="E43" s="212">
        <v>7721</v>
      </c>
      <c r="F43" s="212">
        <v>13672</v>
      </c>
      <c r="G43" s="212">
        <v>14484</v>
      </c>
      <c r="H43" s="212">
        <v>22924</v>
      </c>
      <c r="I43" s="212">
        <v>28949</v>
      </c>
      <c r="J43" s="212">
        <v>22708</v>
      </c>
      <c r="K43" s="212">
        <v>38488</v>
      </c>
      <c r="L43" s="212">
        <v>32923</v>
      </c>
      <c r="M43" s="212">
        <v>13214</v>
      </c>
      <c r="N43" s="213">
        <v>217702</v>
      </c>
      <c r="O43" s="214"/>
      <c r="P43" s="260"/>
    </row>
    <row r="44" spans="1:16" s="210" customFormat="1" ht="32.1" hidden="1" customHeight="1" x14ac:dyDescent="0.15">
      <c r="A44" s="211"/>
      <c r="B44" s="216">
        <v>0.94897151898734178</v>
      </c>
      <c r="C44" s="216">
        <v>-3.1867520178124109E-2</v>
      </c>
      <c r="D44" s="216">
        <v>0.25701069673315979</v>
      </c>
      <c r="E44" s="216">
        <v>1.2655096490091955</v>
      </c>
      <c r="F44" s="216">
        <v>2.0009508484493854</v>
      </c>
      <c r="G44" s="216">
        <v>0.91148853907760286</v>
      </c>
      <c r="H44" s="216">
        <v>0.63662537079043791</v>
      </c>
      <c r="I44" s="216">
        <v>1.145082731700577</v>
      </c>
      <c r="J44" s="216">
        <v>1.1112823674475956</v>
      </c>
      <c r="K44" s="216">
        <v>0.43449906464352517</v>
      </c>
      <c r="L44" s="216">
        <v>0.28311514746529776</v>
      </c>
      <c r="M44" s="216">
        <v>-0.2316482518540941</v>
      </c>
      <c r="N44" s="216">
        <v>0.7052163048570983</v>
      </c>
      <c r="O44" s="218"/>
      <c r="P44" s="260"/>
    </row>
    <row r="45" spans="1:16" s="210" customFormat="1" ht="32.1" customHeight="1" x14ac:dyDescent="0.15">
      <c r="A45" s="219" t="s">
        <v>17</v>
      </c>
      <c r="B45" s="220">
        <v>16376</v>
      </c>
      <c r="C45" s="220">
        <v>16843</v>
      </c>
      <c r="D45" s="220">
        <v>43398</v>
      </c>
      <c r="E45" s="220">
        <v>109161</v>
      </c>
      <c r="F45" s="220">
        <v>131352</v>
      </c>
      <c r="G45" s="220">
        <v>82025</v>
      </c>
      <c r="H45" s="220">
        <v>121395</v>
      </c>
      <c r="I45" s="220">
        <v>161954</v>
      </c>
      <c r="J45" s="220">
        <v>108889</v>
      </c>
      <c r="K45" s="220">
        <v>114370</v>
      </c>
      <c r="L45" s="220">
        <v>82466</v>
      </c>
      <c r="M45" s="220">
        <v>25145</v>
      </c>
      <c r="N45" s="221">
        <v>1013374</v>
      </c>
      <c r="O45" s="237">
        <v>809507</v>
      </c>
      <c r="P45" s="261">
        <v>0.25184093528530327</v>
      </c>
    </row>
    <row r="46" spans="1:16" s="210" customFormat="1" ht="32.1" hidden="1" customHeight="1" x14ac:dyDescent="0.15">
      <c r="A46" s="211"/>
      <c r="B46" s="212">
        <v>7954</v>
      </c>
      <c r="C46" s="212">
        <v>23324</v>
      </c>
      <c r="D46" s="212">
        <v>42176</v>
      </c>
      <c r="E46" s="212">
        <v>76331</v>
      </c>
      <c r="F46" s="212">
        <v>78083</v>
      </c>
      <c r="G46" s="212">
        <v>62088</v>
      </c>
      <c r="H46" s="212">
        <v>105655</v>
      </c>
      <c r="I46" s="212">
        <v>106686</v>
      </c>
      <c r="J46" s="212">
        <v>65221</v>
      </c>
      <c r="K46" s="212">
        <v>115256</v>
      </c>
      <c r="L46" s="212">
        <v>98080</v>
      </c>
      <c r="M46" s="212">
        <v>28653</v>
      </c>
      <c r="N46" s="213">
        <v>809507</v>
      </c>
      <c r="O46" s="214"/>
      <c r="P46" s="260"/>
    </row>
    <row r="47" spans="1:16" s="210" customFormat="1" ht="32.1" hidden="1" customHeight="1" x14ac:dyDescent="0.15">
      <c r="A47" s="211"/>
      <c r="B47" s="216">
        <v>1.0588383203419665</v>
      </c>
      <c r="C47" s="216">
        <v>-0.27786829017321213</v>
      </c>
      <c r="D47" s="216">
        <v>2.8973823975720681E-2</v>
      </c>
      <c r="E47" s="216">
        <v>0.43010048342089058</v>
      </c>
      <c r="F47" s="216">
        <v>0.68220995607238444</v>
      </c>
      <c r="G47" s="216">
        <v>0.32110874887256791</v>
      </c>
      <c r="H47" s="216">
        <v>0.14897543892858822</v>
      </c>
      <c r="I47" s="216">
        <v>0.51804360459666676</v>
      </c>
      <c r="J47" s="216">
        <v>0.66953895217797954</v>
      </c>
      <c r="K47" s="216">
        <v>-7.6872353716943564E-3</v>
      </c>
      <c r="L47" s="216">
        <v>-0.15919657422512234</v>
      </c>
      <c r="M47" s="216">
        <v>-0.12243046103374866</v>
      </c>
      <c r="N47" s="216">
        <v>0.25184093528530327</v>
      </c>
      <c r="O47" s="218"/>
      <c r="P47" s="260"/>
    </row>
    <row r="48" spans="1:16" s="210" customFormat="1" ht="32.1" customHeight="1" thickBot="1" x14ac:dyDescent="0.2">
      <c r="A48" s="223" t="s">
        <v>18</v>
      </c>
      <c r="B48" s="224">
        <v>7856</v>
      </c>
      <c r="C48" s="224">
        <v>3749</v>
      </c>
      <c r="D48" s="224">
        <v>9704</v>
      </c>
      <c r="E48" s="224">
        <v>17000</v>
      </c>
      <c r="F48" s="224">
        <v>61090</v>
      </c>
      <c r="G48" s="224">
        <v>59696</v>
      </c>
      <c r="H48" s="224">
        <v>50391</v>
      </c>
      <c r="I48" s="224">
        <v>67029</v>
      </c>
      <c r="J48" s="224">
        <v>41358</v>
      </c>
      <c r="K48" s="224">
        <v>40363</v>
      </c>
      <c r="L48" s="224">
        <v>26656</v>
      </c>
      <c r="M48" s="224">
        <v>4942</v>
      </c>
      <c r="N48" s="225">
        <v>389834</v>
      </c>
      <c r="O48" s="226">
        <v>262940</v>
      </c>
      <c r="P48" s="227">
        <v>0.48259679014223766</v>
      </c>
    </row>
    <row r="49" spans="1:16" s="210" customFormat="1" ht="31.5" hidden="1" customHeight="1" thickTop="1" x14ac:dyDescent="0.15">
      <c r="A49" s="228"/>
      <c r="B49" s="229">
        <v>7537</v>
      </c>
      <c r="C49" s="229">
        <v>2513</v>
      </c>
      <c r="D49" s="229">
        <v>7432</v>
      </c>
      <c r="E49" s="229">
        <v>8963</v>
      </c>
      <c r="F49" s="229">
        <v>17129</v>
      </c>
      <c r="G49" s="229">
        <v>34062</v>
      </c>
      <c r="H49" s="229">
        <v>39685</v>
      </c>
      <c r="I49" s="229">
        <v>54361</v>
      </c>
      <c r="J49" s="229">
        <v>32276</v>
      </c>
      <c r="K49" s="229">
        <v>31014</v>
      </c>
      <c r="L49" s="229">
        <v>22447</v>
      </c>
      <c r="M49" s="229">
        <v>5521</v>
      </c>
      <c r="N49" s="230">
        <v>262940</v>
      </c>
      <c r="O49" s="231"/>
      <c r="P49" s="262"/>
    </row>
    <row r="50" spans="1:16" s="210" customFormat="1" ht="32.25" hidden="1" customHeight="1" x14ac:dyDescent="0.15">
      <c r="A50" s="263"/>
      <c r="B50" s="216">
        <v>4.2324532307284057E-2</v>
      </c>
      <c r="C50" s="216">
        <v>0.49184241941902118</v>
      </c>
      <c r="D50" s="216">
        <v>0.30570505920344448</v>
      </c>
      <c r="E50" s="216">
        <v>0.89668637732901924</v>
      </c>
      <c r="F50" s="216">
        <v>2.5664662268667171</v>
      </c>
      <c r="G50" s="216">
        <v>0.75256884504726673</v>
      </c>
      <c r="H50" s="216">
        <v>0.26977447398261312</v>
      </c>
      <c r="I50" s="216">
        <v>0.23303471238571771</v>
      </c>
      <c r="J50" s="216">
        <v>0.28138554963440332</v>
      </c>
      <c r="K50" s="216">
        <v>0.30144450893145036</v>
      </c>
      <c r="L50" s="216">
        <v>0.1875083530093109</v>
      </c>
      <c r="M50" s="216">
        <v>-0.10487230574171347</v>
      </c>
      <c r="N50" s="216">
        <v>0.48259679014223766</v>
      </c>
      <c r="O50" s="218"/>
      <c r="P50" s="260"/>
    </row>
    <row r="51" spans="1:16" s="210" customFormat="1" ht="32.1" customHeight="1" thickTop="1" x14ac:dyDescent="0.15">
      <c r="A51" s="264" t="s">
        <v>20</v>
      </c>
      <c r="B51" s="221">
        <v>613821</v>
      </c>
      <c r="C51" s="235">
        <v>229466</v>
      </c>
      <c r="D51" s="221">
        <v>479356</v>
      </c>
      <c r="E51" s="221">
        <v>664077</v>
      </c>
      <c r="F51" s="221">
        <v>916091</v>
      </c>
      <c r="G51" s="221">
        <v>635558</v>
      </c>
      <c r="H51" s="221">
        <v>687605</v>
      </c>
      <c r="I51" s="221">
        <v>859741</v>
      </c>
      <c r="J51" s="221">
        <v>755932</v>
      </c>
      <c r="K51" s="221">
        <v>779840</v>
      </c>
      <c r="L51" s="221">
        <v>840230</v>
      </c>
      <c r="M51" s="221">
        <v>321523</v>
      </c>
      <c r="N51" s="221">
        <v>7783240</v>
      </c>
      <c r="O51" s="237">
        <v>6495718</v>
      </c>
      <c r="P51" s="261">
        <v>0.19821088292318101</v>
      </c>
    </row>
    <row r="52" spans="1:16" s="210" customFormat="1" ht="32.1" hidden="1" customHeight="1" x14ac:dyDescent="0.15">
      <c r="A52" s="238"/>
      <c r="B52" s="213">
        <v>444662</v>
      </c>
      <c r="C52" s="239">
        <v>328297</v>
      </c>
      <c r="D52" s="213">
        <v>476336</v>
      </c>
      <c r="E52" s="213">
        <v>481797</v>
      </c>
      <c r="F52" s="213">
        <v>595161</v>
      </c>
      <c r="G52" s="213">
        <v>497236</v>
      </c>
      <c r="H52" s="213">
        <v>639970</v>
      </c>
      <c r="I52" s="213">
        <v>682298</v>
      </c>
      <c r="J52" s="213">
        <v>521737</v>
      </c>
      <c r="K52" s="213">
        <v>692055</v>
      </c>
      <c r="L52" s="213">
        <v>803868</v>
      </c>
      <c r="M52" s="213">
        <v>332301</v>
      </c>
      <c r="N52" s="213">
        <v>6495718</v>
      </c>
      <c r="O52" s="265">
        <v>0</v>
      </c>
    </row>
    <row r="53" spans="1:16" s="210" customFormat="1" ht="32.1" customHeight="1" x14ac:dyDescent="0.15">
      <c r="A53" s="219" t="s">
        <v>49</v>
      </c>
      <c r="B53" s="135">
        <v>0.38042153365927378</v>
      </c>
      <c r="C53" s="135">
        <v>-0.30104143504205039</v>
      </c>
      <c r="D53" s="135">
        <v>6.3400624769069935E-3</v>
      </c>
      <c r="E53" s="135">
        <v>0.37833361353433093</v>
      </c>
      <c r="F53" s="135">
        <v>0.53923224135990089</v>
      </c>
      <c r="G53" s="135">
        <v>0.27818178892920065</v>
      </c>
      <c r="H53" s="135">
        <v>7.4433176555150915E-2</v>
      </c>
      <c r="I53" s="135">
        <v>0.26006671571659301</v>
      </c>
      <c r="J53" s="135">
        <v>0.44887558290863017</v>
      </c>
      <c r="K53" s="135">
        <v>0.12684685465750545</v>
      </c>
      <c r="L53" s="135">
        <v>4.5233794603094069E-2</v>
      </c>
      <c r="M53" s="135">
        <v>-3.2434449490070794E-2</v>
      </c>
      <c r="N53" s="266">
        <v>0.19821088292318101</v>
      </c>
      <c r="O53" s="240"/>
    </row>
    <row r="54" spans="1:16" s="210" customFormat="1" ht="32.1" customHeight="1" x14ac:dyDescent="0.15">
      <c r="A54" s="219" t="s">
        <v>21</v>
      </c>
      <c r="B54" s="241">
        <v>1322643</v>
      </c>
      <c r="C54" s="241"/>
      <c r="D54" s="241"/>
      <c r="E54" s="241">
        <v>2215726</v>
      </c>
      <c r="F54" s="241"/>
      <c r="G54" s="241"/>
      <c r="H54" s="241">
        <v>2303278</v>
      </c>
      <c r="I54" s="241"/>
      <c r="J54" s="241"/>
      <c r="K54" s="241">
        <v>1941593</v>
      </c>
      <c r="L54" s="241"/>
      <c r="M54" s="241"/>
      <c r="N54" s="242"/>
      <c r="O54" s="243"/>
    </row>
    <row r="55" spans="1:16" s="210" customFormat="1" ht="32.1" hidden="1" customHeight="1" x14ac:dyDescent="0.15">
      <c r="A55" s="211" t="s">
        <v>73</v>
      </c>
      <c r="B55" s="267">
        <v>1249295</v>
      </c>
      <c r="C55" s="268"/>
      <c r="D55" s="269"/>
      <c r="E55" s="267">
        <v>1574194</v>
      </c>
      <c r="F55" s="268"/>
      <c r="G55" s="269"/>
      <c r="H55" s="267">
        <v>1844005</v>
      </c>
      <c r="I55" s="268"/>
      <c r="J55" s="269"/>
      <c r="K55" s="268">
        <v>1828224</v>
      </c>
      <c r="L55" s="268"/>
      <c r="M55" s="269"/>
      <c r="N55" s="242"/>
      <c r="O55" s="243"/>
    </row>
    <row r="56" spans="1:16" s="210" customFormat="1" ht="32.1" customHeight="1" x14ac:dyDescent="0.15">
      <c r="A56" s="219" t="s">
        <v>49</v>
      </c>
      <c r="B56" s="270">
        <v>5.8711513293497442E-2</v>
      </c>
      <c r="C56" s="270"/>
      <c r="D56" s="270"/>
      <c r="E56" s="270">
        <v>0.40753045685601652</v>
      </c>
      <c r="F56" s="270"/>
      <c r="G56" s="270"/>
      <c r="H56" s="270">
        <v>0.24906277369096075</v>
      </c>
      <c r="I56" s="270"/>
      <c r="J56" s="270"/>
      <c r="K56" s="270">
        <v>6.2010453861233605E-2</v>
      </c>
      <c r="L56" s="270"/>
      <c r="M56" s="270"/>
      <c r="N56" s="242"/>
      <c r="O56" s="243"/>
    </row>
    <row r="57" spans="1:16" s="195" customFormat="1" ht="21" x14ac:dyDescent="0.2">
      <c r="A57" s="247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6"/>
      <c r="O57" s="246"/>
    </row>
    <row r="58" spans="1:16" s="195" customFormat="1" ht="21" x14ac:dyDescent="0.2">
      <c r="A58" s="250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2"/>
      <c r="O58" s="252"/>
    </row>
    <row r="59" spans="1:16" s="195" customFormat="1" ht="24" x14ac:dyDescent="0.25">
      <c r="A59" s="183" t="s">
        <v>75</v>
      </c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184"/>
      <c r="P59" s="184"/>
    </row>
    <row r="60" spans="1:16" s="195" customFormat="1" ht="21" x14ac:dyDescent="0.2"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186"/>
      <c r="P60" s="187" t="s">
        <v>70</v>
      </c>
    </row>
    <row r="61" spans="1:16" s="195" customFormat="1" ht="24" customHeight="1" x14ac:dyDescent="0.2">
      <c r="A61" s="188" t="s">
        <v>71</v>
      </c>
      <c r="B61" s="254" t="s">
        <v>72</v>
      </c>
      <c r="C61" s="254"/>
      <c r="D61" s="254"/>
      <c r="E61" s="254"/>
      <c r="F61" s="254"/>
      <c r="G61" s="254"/>
      <c r="H61" s="190" t="s">
        <v>72</v>
      </c>
      <c r="I61" s="191"/>
      <c r="J61" s="191"/>
      <c r="K61" s="191"/>
      <c r="L61" s="191"/>
      <c r="M61" s="191"/>
      <c r="N61" s="192" t="s">
        <v>66</v>
      </c>
      <c r="O61" s="193" t="s">
        <v>67</v>
      </c>
      <c r="P61" s="255" t="s">
        <v>50</v>
      </c>
    </row>
    <row r="62" spans="1:16" s="195" customFormat="1" ht="24" customHeight="1" x14ac:dyDescent="0.2">
      <c r="A62" s="196"/>
      <c r="B62" s="254" t="s">
        <v>22</v>
      </c>
      <c r="C62" s="254"/>
      <c r="D62" s="254"/>
      <c r="E62" s="254" t="s">
        <v>23</v>
      </c>
      <c r="F62" s="254"/>
      <c r="G62" s="254"/>
      <c r="H62" s="189" t="s">
        <v>24</v>
      </c>
      <c r="I62" s="189"/>
      <c r="J62" s="189"/>
      <c r="K62" s="197" t="s">
        <v>42</v>
      </c>
      <c r="L62" s="189"/>
      <c r="M62" s="189"/>
      <c r="N62" s="198"/>
      <c r="O62" s="199"/>
      <c r="P62" s="256"/>
    </row>
    <row r="63" spans="1:16" s="195" customFormat="1" ht="24" customHeight="1" thickBot="1" x14ac:dyDescent="0.25">
      <c r="A63" s="200"/>
      <c r="B63" s="271" t="s">
        <v>6</v>
      </c>
      <c r="C63" s="271" t="s">
        <v>7</v>
      </c>
      <c r="D63" s="271" t="s">
        <v>8</v>
      </c>
      <c r="E63" s="271" t="s">
        <v>0</v>
      </c>
      <c r="F63" s="271" t="s">
        <v>1</v>
      </c>
      <c r="G63" s="271" t="s">
        <v>2</v>
      </c>
      <c r="H63" s="201" t="s">
        <v>3</v>
      </c>
      <c r="I63" s="201" t="s">
        <v>4</v>
      </c>
      <c r="J63" s="201" t="s">
        <v>5</v>
      </c>
      <c r="K63" s="201" t="s">
        <v>43</v>
      </c>
      <c r="L63" s="201" t="s">
        <v>44</v>
      </c>
      <c r="M63" s="201" t="s">
        <v>45</v>
      </c>
      <c r="N63" s="202"/>
      <c r="O63" s="203"/>
      <c r="P63" s="258"/>
    </row>
    <row r="64" spans="1:16" s="210" customFormat="1" ht="31.5" customHeight="1" thickTop="1" x14ac:dyDescent="0.15">
      <c r="A64" s="264" t="s">
        <v>37</v>
      </c>
      <c r="B64" s="272">
        <v>196823</v>
      </c>
      <c r="C64" s="272">
        <v>157959</v>
      </c>
      <c r="D64" s="272">
        <v>202481</v>
      </c>
      <c r="E64" s="272">
        <v>208820</v>
      </c>
      <c r="F64" s="272">
        <v>246374</v>
      </c>
      <c r="G64" s="272">
        <v>200323</v>
      </c>
      <c r="H64" s="220">
        <v>218966</v>
      </c>
      <c r="I64" s="220">
        <v>262262</v>
      </c>
      <c r="J64" s="220">
        <v>223887</v>
      </c>
      <c r="K64" s="220">
        <v>219842</v>
      </c>
      <c r="L64" s="220">
        <v>226188</v>
      </c>
      <c r="M64" s="220">
        <v>217256</v>
      </c>
      <c r="N64" s="221">
        <v>2581181</v>
      </c>
      <c r="O64" s="237">
        <v>2274607</v>
      </c>
      <c r="P64" s="261">
        <v>0.1347810852600031</v>
      </c>
    </row>
    <row r="65" spans="1:16" s="210" customFormat="1" ht="31.5" hidden="1" customHeight="1" x14ac:dyDescent="0.15">
      <c r="A65" s="273"/>
      <c r="B65" s="212">
        <v>144939</v>
      </c>
      <c r="C65" s="212">
        <v>157522</v>
      </c>
      <c r="D65" s="212">
        <v>199268</v>
      </c>
      <c r="E65" s="212">
        <v>164040</v>
      </c>
      <c r="F65" s="212">
        <v>178021</v>
      </c>
      <c r="G65" s="212">
        <v>161590</v>
      </c>
      <c r="H65" s="212">
        <v>203610</v>
      </c>
      <c r="I65" s="212">
        <v>210388</v>
      </c>
      <c r="J65" s="212">
        <v>156015</v>
      </c>
      <c r="K65" s="212">
        <v>213360</v>
      </c>
      <c r="L65" s="212">
        <v>246713</v>
      </c>
      <c r="M65" s="212">
        <v>239141</v>
      </c>
      <c r="N65" s="213">
        <v>2274607</v>
      </c>
      <c r="O65" s="214"/>
      <c r="P65" s="260"/>
    </row>
    <row r="66" spans="1:16" s="210" customFormat="1" ht="32.1" hidden="1" customHeight="1" x14ac:dyDescent="0.15">
      <c r="A66" s="273"/>
      <c r="B66" s="216">
        <v>0.35797128447139825</v>
      </c>
      <c r="C66" s="216">
        <v>2.7742156651133776E-3</v>
      </c>
      <c r="D66" s="216">
        <v>1.6124013890840505E-2</v>
      </c>
      <c r="E66" s="216">
        <v>0.27298219946354552</v>
      </c>
      <c r="F66" s="216">
        <v>0.38396031928817376</v>
      </c>
      <c r="G66" s="216">
        <v>0.23969923881428312</v>
      </c>
      <c r="H66" s="216">
        <v>7.5418692598595349E-2</v>
      </c>
      <c r="I66" s="216">
        <v>0.24656349221438489</v>
      </c>
      <c r="J66" s="216">
        <v>0.43503509277954033</v>
      </c>
      <c r="K66" s="216">
        <v>3.0380577427821631E-2</v>
      </c>
      <c r="L66" s="216">
        <v>-8.3193832509839361E-2</v>
      </c>
      <c r="M66" s="216">
        <v>-9.1515047607896638E-2</v>
      </c>
      <c r="N66" s="216">
        <v>0.1347810852600031</v>
      </c>
      <c r="O66" s="218"/>
      <c r="P66" s="260"/>
    </row>
    <row r="67" spans="1:16" s="210" customFormat="1" ht="32.1" customHeight="1" x14ac:dyDescent="0.15">
      <c r="A67" s="264" t="s">
        <v>15</v>
      </c>
      <c r="B67" s="220">
        <v>86694</v>
      </c>
      <c r="C67" s="220">
        <v>64199</v>
      </c>
      <c r="D67" s="220">
        <v>80227</v>
      </c>
      <c r="E67" s="220">
        <v>83906</v>
      </c>
      <c r="F67" s="220">
        <v>110687</v>
      </c>
      <c r="G67" s="220">
        <v>92437</v>
      </c>
      <c r="H67" s="220">
        <v>95428</v>
      </c>
      <c r="I67" s="220">
        <v>107281</v>
      </c>
      <c r="J67" s="220">
        <v>97574</v>
      </c>
      <c r="K67" s="220">
        <v>109723</v>
      </c>
      <c r="L67" s="220">
        <v>101341</v>
      </c>
      <c r="M67" s="220">
        <v>90221</v>
      </c>
      <c r="N67" s="221">
        <v>1119718</v>
      </c>
      <c r="O67" s="237">
        <v>939287</v>
      </c>
      <c r="P67" s="261">
        <v>0.19209357736240351</v>
      </c>
    </row>
    <row r="68" spans="1:16" s="210" customFormat="1" ht="32.1" hidden="1" customHeight="1" x14ac:dyDescent="0.15">
      <c r="A68" s="273"/>
      <c r="B68" s="212">
        <v>61448</v>
      </c>
      <c r="C68" s="212">
        <v>67228</v>
      </c>
      <c r="D68" s="212">
        <v>72270</v>
      </c>
      <c r="E68" s="212">
        <v>69225</v>
      </c>
      <c r="F68" s="212">
        <v>75922</v>
      </c>
      <c r="G68" s="212">
        <v>64270</v>
      </c>
      <c r="H68" s="212">
        <v>85284</v>
      </c>
      <c r="I68" s="212">
        <v>85780</v>
      </c>
      <c r="J68" s="212">
        <v>68427</v>
      </c>
      <c r="K68" s="212">
        <v>93193</v>
      </c>
      <c r="L68" s="212">
        <v>102048</v>
      </c>
      <c r="M68" s="212">
        <v>94192</v>
      </c>
      <c r="N68" s="213">
        <v>939287</v>
      </c>
      <c r="O68" s="214"/>
      <c r="P68" s="260"/>
    </row>
    <row r="69" spans="1:16" s="210" customFormat="1" ht="32.1" hidden="1" customHeight="1" x14ac:dyDescent="0.15">
      <c r="A69" s="273"/>
      <c r="B69" s="216">
        <v>0.41085145163390191</v>
      </c>
      <c r="C69" s="216">
        <v>-4.5055631582078925E-2</v>
      </c>
      <c r="D69" s="216">
        <v>0.11010101010101003</v>
      </c>
      <c r="E69" s="216">
        <v>0.21207656193571678</v>
      </c>
      <c r="F69" s="216">
        <v>0.4579041648007165</v>
      </c>
      <c r="G69" s="216">
        <v>0.43826046366889693</v>
      </c>
      <c r="H69" s="216">
        <v>0.11894376436377274</v>
      </c>
      <c r="I69" s="216">
        <v>0.25065283282816497</v>
      </c>
      <c r="J69" s="216">
        <v>0.42595758984026766</v>
      </c>
      <c r="K69" s="216">
        <v>0.1773738370907687</v>
      </c>
      <c r="L69" s="216">
        <v>-6.928112260896846E-3</v>
      </c>
      <c r="M69" s="216">
        <v>-4.2158569729913387E-2</v>
      </c>
      <c r="N69" s="216">
        <v>0.19209357736240351</v>
      </c>
      <c r="O69" s="218"/>
      <c r="P69" s="260"/>
    </row>
    <row r="70" spans="1:16" s="210" customFormat="1" ht="32.1" customHeight="1" x14ac:dyDescent="0.15">
      <c r="A70" s="264" t="s">
        <v>16</v>
      </c>
      <c r="B70" s="220">
        <v>115240</v>
      </c>
      <c r="C70" s="220">
        <v>126977</v>
      </c>
      <c r="D70" s="220">
        <v>134830</v>
      </c>
      <c r="E70" s="220">
        <v>124516</v>
      </c>
      <c r="F70" s="220">
        <v>115150</v>
      </c>
      <c r="G70" s="220">
        <v>101045</v>
      </c>
      <c r="H70" s="220">
        <v>92570</v>
      </c>
      <c r="I70" s="220">
        <v>126821</v>
      </c>
      <c r="J70" s="220">
        <v>127884</v>
      </c>
      <c r="K70" s="220">
        <v>114956</v>
      </c>
      <c r="L70" s="220">
        <v>112606</v>
      </c>
      <c r="M70" s="220">
        <v>105905</v>
      </c>
      <c r="N70" s="221">
        <v>1398500</v>
      </c>
      <c r="O70" s="237">
        <v>926713</v>
      </c>
      <c r="P70" s="261">
        <v>0.50909720701015315</v>
      </c>
    </row>
    <row r="71" spans="1:16" s="210" customFormat="1" ht="31.5" hidden="1" customHeight="1" x14ac:dyDescent="0.15">
      <c r="A71" s="273"/>
      <c r="B71" s="212">
        <v>67899</v>
      </c>
      <c r="C71" s="212">
        <v>69888</v>
      </c>
      <c r="D71" s="212">
        <v>91989</v>
      </c>
      <c r="E71" s="212">
        <v>81587</v>
      </c>
      <c r="F71" s="212">
        <v>53518</v>
      </c>
      <c r="G71" s="212">
        <v>48220</v>
      </c>
      <c r="H71" s="212">
        <v>60295</v>
      </c>
      <c r="I71" s="212">
        <v>91625</v>
      </c>
      <c r="J71" s="212">
        <v>83447</v>
      </c>
      <c r="K71" s="212">
        <v>82020</v>
      </c>
      <c r="L71" s="212">
        <v>95771</v>
      </c>
      <c r="M71" s="212">
        <v>100454</v>
      </c>
      <c r="N71" s="213">
        <v>926713</v>
      </c>
      <c r="O71" s="214"/>
      <c r="P71" s="260"/>
    </row>
    <row r="72" spans="1:16" s="210" customFormat="1" ht="32.1" hidden="1" customHeight="1" x14ac:dyDescent="0.15">
      <c r="A72" s="273"/>
      <c r="B72" s="216">
        <v>0.69722676328075517</v>
      </c>
      <c r="C72" s="216">
        <v>0.81686412545787546</v>
      </c>
      <c r="D72" s="216">
        <v>0.46571872723912633</v>
      </c>
      <c r="E72" s="216">
        <v>0.52617451309644925</v>
      </c>
      <c r="F72" s="216">
        <v>1.1516125415747971</v>
      </c>
      <c r="G72" s="216">
        <v>1.0954997926171712</v>
      </c>
      <c r="H72" s="216">
        <v>0.53528484949000754</v>
      </c>
      <c r="I72" s="216">
        <v>0.38413096862210105</v>
      </c>
      <c r="J72" s="216">
        <v>0.53251764593095019</v>
      </c>
      <c r="K72" s="216">
        <v>0.40156059497683483</v>
      </c>
      <c r="L72" s="216">
        <v>0.17578390118094211</v>
      </c>
      <c r="M72" s="216">
        <v>5.426364306050524E-2</v>
      </c>
      <c r="N72" s="216">
        <v>0.50909720701015315</v>
      </c>
      <c r="O72" s="218"/>
      <c r="P72" s="260"/>
    </row>
    <row r="73" spans="1:16" s="210" customFormat="1" ht="32.1" customHeight="1" x14ac:dyDescent="0.15">
      <c r="A73" s="264" t="s">
        <v>17</v>
      </c>
      <c r="B73" s="220">
        <v>61854</v>
      </c>
      <c r="C73" s="220">
        <v>63278</v>
      </c>
      <c r="D73" s="220">
        <v>40399</v>
      </c>
      <c r="E73" s="220">
        <v>56934</v>
      </c>
      <c r="F73" s="220">
        <v>77432</v>
      </c>
      <c r="G73" s="220">
        <v>52713</v>
      </c>
      <c r="H73" s="220">
        <v>74235</v>
      </c>
      <c r="I73" s="220">
        <v>117439</v>
      </c>
      <c r="J73" s="220">
        <v>70043</v>
      </c>
      <c r="K73" s="220">
        <v>82531</v>
      </c>
      <c r="L73" s="220">
        <v>40332</v>
      </c>
      <c r="M73" s="220">
        <v>60037</v>
      </c>
      <c r="N73" s="221">
        <v>797227</v>
      </c>
      <c r="O73" s="237">
        <v>735910</v>
      </c>
      <c r="P73" s="261">
        <v>8.3321330053946818E-2</v>
      </c>
    </row>
    <row r="74" spans="1:16" s="210" customFormat="1" ht="32.1" hidden="1" customHeight="1" x14ac:dyDescent="0.15">
      <c r="A74" s="273"/>
      <c r="B74" s="212">
        <v>51438</v>
      </c>
      <c r="C74" s="212">
        <v>63559</v>
      </c>
      <c r="D74" s="212">
        <v>49325</v>
      </c>
      <c r="E74" s="212">
        <v>47683</v>
      </c>
      <c r="F74" s="212">
        <v>60315</v>
      </c>
      <c r="G74" s="212">
        <v>43833</v>
      </c>
      <c r="H74" s="212">
        <v>70125</v>
      </c>
      <c r="I74" s="212">
        <v>105331</v>
      </c>
      <c r="J74" s="212">
        <v>59964</v>
      </c>
      <c r="K74" s="212">
        <v>77113</v>
      </c>
      <c r="L74" s="212">
        <v>43529</v>
      </c>
      <c r="M74" s="212">
        <v>63695</v>
      </c>
      <c r="N74" s="213">
        <v>735910</v>
      </c>
      <c r="O74" s="214"/>
      <c r="P74" s="260"/>
    </row>
    <row r="75" spans="1:16" s="210" customFormat="1" ht="32.1" hidden="1" customHeight="1" x14ac:dyDescent="0.15">
      <c r="A75" s="273"/>
      <c r="B75" s="216">
        <v>0.20249620902834486</v>
      </c>
      <c r="C75" s="216">
        <v>-4.4210890668512359E-3</v>
      </c>
      <c r="D75" s="216">
        <v>-0.18096300050684233</v>
      </c>
      <c r="E75" s="216">
        <v>0.19401044397374334</v>
      </c>
      <c r="F75" s="216">
        <v>0.28379341788941392</v>
      </c>
      <c r="G75" s="216">
        <v>0.20258709191704871</v>
      </c>
      <c r="H75" s="216">
        <v>5.8609625668449183E-2</v>
      </c>
      <c r="I75" s="216">
        <v>0.11495191349175449</v>
      </c>
      <c r="J75" s="216">
        <v>0.16808418384363955</v>
      </c>
      <c r="K75" s="216">
        <v>7.0260526759430952E-2</v>
      </c>
      <c r="L75" s="216">
        <v>-7.3445289347331633E-2</v>
      </c>
      <c r="M75" s="216">
        <v>-5.7429939555695086E-2</v>
      </c>
      <c r="N75" s="216">
        <v>8.3321330053946818E-2</v>
      </c>
      <c r="O75" s="218"/>
      <c r="P75" s="260"/>
    </row>
    <row r="76" spans="1:16" s="210" customFormat="1" ht="32.1" customHeight="1" thickBot="1" x14ac:dyDescent="0.2">
      <c r="A76" s="201" t="s">
        <v>18</v>
      </c>
      <c r="B76" s="224">
        <v>5498</v>
      </c>
      <c r="C76" s="224">
        <v>8519</v>
      </c>
      <c r="D76" s="224">
        <v>7169</v>
      </c>
      <c r="E76" s="224">
        <v>8525</v>
      </c>
      <c r="F76" s="224">
        <v>16017</v>
      </c>
      <c r="G76" s="224">
        <v>19110</v>
      </c>
      <c r="H76" s="224">
        <v>18305</v>
      </c>
      <c r="I76" s="224">
        <v>24520</v>
      </c>
      <c r="J76" s="224">
        <v>16010</v>
      </c>
      <c r="K76" s="224">
        <v>16300</v>
      </c>
      <c r="L76" s="224">
        <v>11966</v>
      </c>
      <c r="M76" s="224">
        <v>7237</v>
      </c>
      <c r="N76" s="225">
        <v>159176</v>
      </c>
      <c r="O76" s="226">
        <v>113491</v>
      </c>
      <c r="P76" s="274">
        <v>0.40254293291979093</v>
      </c>
    </row>
    <row r="77" spans="1:16" s="210" customFormat="1" ht="32.1" hidden="1" customHeight="1" thickTop="1" x14ac:dyDescent="0.15">
      <c r="A77" s="275"/>
      <c r="B77" s="229">
        <v>5813</v>
      </c>
      <c r="C77" s="229">
        <v>6411</v>
      </c>
      <c r="D77" s="229">
        <v>6494</v>
      </c>
      <c r="E77" s="229">
        <v>5663</v>
      </c>
      <c r="F77" s="229">
        <v>7458</v>
      </c>
      <c r="G77" s="229">
        <v>11762</v>
      </c>
      <c r="H77" s="229">
        <v>12059</v>
      </c>
      <c r="I77" s="229">
        <v>15247</v>
      </c>
      <c r="J77" s="229">
        <v>8378</v>
      </c>
      <c r="K77" s="229">
        <v>14938</v>
      </c>
      <c r="L77" s="229">
        <v>11663</v>
      </c>
      <c r="M77" s="229">
        <v>7605</v>
      </c>
      <c r="N77" s="230">
        <v>113491</v>
      </c>
      <c r="O77" s="231"/>
      <c r="P77" s="262"/>
    </row>
    <row r="78" spans="1:16" s="210" customFormat="1" ht="32.1" hidden="1" customHeight="1" x14ac:dyDescent="0.15">
      <c r="A78" s="276"/>
      <c r="B78" s="216">
        <v>-5.4188886977464268E-2</v>
      </c>
      <c r="C78" s="216">
        <v>0.32880985805646534</v>
      </c>
      <c r="D78" s="216">
        <v>0.10394210040036955</v>
      </c>
      <c r="E78" s="216">
        <v>0.5053858378951086</v>
      </c>
      <c r="F78" s="216">
        <v>1.1476267095736121</v>
      </c>
      <c r="G78" s="216">
        <v>0.62472368644788312</v>
      </c>
      <c r="H78" s="216">
        <v>0.51795339580396393</v>
      </c>
      <c r="I78" s="216">
        <v>0.60818521676395365</v>
      </c>
      <c r="J78" s="216">
        <v>0.9109572690379566</v>
      </c>
      <c r="K78" s="216">
        <v>9.117686437274064E-2</v>
      </c>
      <c r="L78" s="216">
        <v>2.5979593586555882E-2</v>
      </c>
      <c r="M78" s="216">
        <v>-4.8389217619986824E-2</v>
      </c>
      <c r="N78" s="216">
        <v>0.40254293291979093</v>
      </c>
      <c r="O78" s="218"/>
      <c r="P78" s="260"/>
    </row>
    <row r="79" spans="1:16" s="210" customFormat="1" ht="32.1" customHeight="1" thickTop="1" x14ac:dyDescent="0.15">
      <c r="A79" s="264" t="s">
        <v>20</v>
      </c>
      <c r="B79" s="221">
        <v>466109</v>
      </c>
      <c r="C79" s="221">
        <v>420932</v>
      </c>
      <c r="D79" s="221">
        <v>465106</v>
      </c>
      <c r="E79" s="221">
        <v>482701</v>
      </c>
      <c r="F79" s="221">
        <v>565660</v>
      </c>
      <c r="G79" s="221">
        <v>465628</v>
      </c>
      <c r="H79" s="221">
        <v>499504</v>
      </c>
      <c r="I79" s="221">
        <v>638323</v>
      </c>
      <c r="J79" s="221">
        <v>535398</v>
      </c>
      <c r="K79" s="221">
        <v>543352</v>
      </c>
      <c r="L79" s="221">
        <v>492433</v>
      </c>
      <c r="M79" s="221">
        <v>480656</v>
      </c>
      <c r="N79" s="221">
        <v>6055802</v>
      </c>
      <c r="O79" s="237">
        <v>4990008</v>
      </c>
      <c r="P79" s="261">
        <v>0.21358562952203686</v>
      </c>
    </row>
    <row r="80" spans="1:16" s="210" customFormat="1" ht="32.1" hidden="1" customHeight="1" x14ac:dyDescent="0.15">
      <c r="A80" s="273"/>
      <c r="B80" s="213">
        <v>331537</v>
      </c>
      <c r="C80" s="213">
        <v>364608</v>
      </c>
      <c r="D80" s="213">
        <v>419346</v>
      </c>
      <c r="E80" s="213">
        <v>368198</v>
      </c>
      <c r="F80" s="213">
        <v>375234</v>
      </c>
      <c r="G80" s="213">
        <v>329675</v>
      </c>
      <c r="H80" s="213">
        <v>431373</v>
      </c>
      <c r="I80" s="213">
        <v>508371</v>
      </c>
      <c r="J80" s="213">
        <v>376231</v>
      </c>
      <c r="K80" s="213">
        <v>480624</v>
      </c>
      <c r="L80" s="213">
        <v>499724</v>
      </c>
      <c r="M80" s="213">
        <v>505087</v>
      </c>
      <c r="N80" s="213">
        <v>4990008</v>
      </c>
      <c r="O80" s="213">
        <v>0</v>
      </c>
    </row>
    <row r="81" spans="1:15" s="210" customFormat="1" ht="32.1" customHeight="1" x14ac:dyDescent="0.15">
      <c r="A81" s="264" t="s">
        <v>49</v>
      </c>
      <c r="B81" s="135">
        <v>0.40590341349532633</v>
      </c>
      <c r="C81" s="135">
        <v>0.15447823415832884</v>
      </c>
      <c r="D81" s="135">
        <v>0.10912229996232226</v>
      </c>
      <c r="E81" s="135">
        <v>0.31098213461235535</v>
      </c>
      <c r="F81" s="135">
        <v>0.50748599540553352</v>
      </c>
      <c r="G81" s="135">
        <v>0.41238492454690223</v>
      </c>
      <c r="H81" s="135">
        <v>0.1579398803355796</v>
      </c>
      <c r="I81" s="135">
        <v>0.25562433734418377</v>
      </c>
      <c r="J81" s="135">
        <v>0.42305657960136189</v>
      </c>
      <c r="K81" s="135">
        <v>0.13051366556809474</v>
      </c>
      <c r="L81" s="135">
        <v>-1.4590053709647721E-2</v>
      </c>
      <c r="M81" s="135">
        <v>-4.8369884792124895E-2</v>
      </c>
      <c r="N81" s="135">
        <v>0.21358562952203686</v>
      </c>
      <c r="O81" s="240"/>
    </row>
    <row r="82" spans="1:15" s="210" customFormat="1" ht="32.1" customHeight="1" x14ac:dyDescent="0.15">
      <c r="A82" s="264" t="s">
        <v>21</v>
      </c>
      <c r="B82" s="241">
        <v>1352147</v>
      </c>
      <c r="C82" s="241"/>
      <c r="D82" s="241"/>
      <c r="E82" s="241">
        <v>1513989</v>
      </c>
      <c r="F82" s="241"/>
      <c r="G82" s="241"/>
      <c r="H82" s="241">
        <v>1673225</v>
      </c>
      <c r="I82" s="241"/>
      <c r="J82" s="241"/>
      <c r="K82" s="241">
        <v>1516441</v>
      </c>
      <c r="L82" s="241"/>
      <c r="M82" s="241"/>
      <c r="N82" s="277"/>
      <c r="O82" s="243"/>
    </row>
    <row r="83" spans="1:15" s="210" customFormat="1" ht="32.1" hidden="1" customHeight="1" x14ac:dyDescent="0.15">
      <c r="A83" s="273" t="s">
        <v>73</v>
      </c>
      <c r="B83" s="244">
        <v>1115491</v>
      </c>
      <c r="C83" s="244"/>
      <c r="D83" s="244"/>
      <c r="E83" s="244">
        <v>1073107</v>
      </c>
      <c r="F83" s="244"/>
      <c r="G83" s="244"/>
      <c r="H83" s="244">
        <v>1315975</v>
      </c>
      <c r="I83" s="244"/>
      <c r="J83" s="244"/>
      <c r="K83" s="244">
        <v>1485435</v>
      </c>
      <c r="L83" s="244"/>
      <c r="M83" s="244"/>
      <c r="N83" s="242"/>
      <c r="O83" s="243"/>
    </row>
    <row r="84" spans="1:15" s="210" customFormat="1" ht="32.1" customHeight="1" x14ac:dyDescent="0.15">
      <c r="A84" s="264" t="s">
        <v>49</v>
      </c>
      <c r="B84" s="159">
        <v>0.21215410971491488</v>
      </c>
      <c r="C84" s="159"/>
      <c r="D84" s="159"/>
      <c r="E84" s="159">
        <v>0.41084626230189536</v>
      </c>
      <c r="F84" s="159"/>
      <c r="G84" s="159"/>
      <c r="H84" s="159">
        <v>0.27147172248712925</v>
      </c>
      <c r="I84" s="159"/>
      <c r="J84" s="159"/>
      <c r="K84" s="159">
        <v>2.0873346864723086E-2</v>
      </c>
      <c r="L84" s="159"/>
      <c r="M84" s="159"/>
      <c r="N84" s="245"/>
      <c r="O84" s="246"/>
    </row>
    <row r="85" spans="1:15" s="210" customFormat="1" ht="54.75" customHeight="1" x14ac:dyDescent="0.2">
      <c r="A85" s="247"/>
      <c r="B85" s="246"/>
      <c r="C85" s="246"/>
      <c r="D85" s="278" t="s">
        <v>76</v>
      </c>
      <c r="E85" s="246"/>
      <c r="F85" s="246"/>
      <c r="G85" s="246"/>
      <c r="H85" s="246"/>
      <c r="I85" s="246"/>
      <c r="J85" s="246"/>
      <c r="K85" s="278"/>
      <c r="L85" s="278" t="s">
        <v>77</v>
      </c>
      <c r="M85" s="246"/>
      <c r="N85" s="246"/>
      <c r="O85" s="246"/>
    </row>
    <row r="86" spans="1:15" ht="14.25" x14ac:dyDescent="0.15">
      <c r="A86" s="279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</row>
    <row r="87" spans="1:15" ht="14.25" x14ac:dyDescent="0.15">
      <c r="A87" s="279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</row>
  </sheetData>
  <mergeCells count="66">
    <mergeCell ref="B84:D84"/>
    <mergeCell ref="E84:G84"/>
    <mergeCell ref="H84:J84"/>
    <mergeCell ref="K84:M84"/>
    <mergeCell ref="B82:D82"/>
    <mergeCell ref="E82:G82"/>
    <mergeCell ref="H82:J82"/>
    <mergeCell ref="K82:M82"/>
    <mergeCell ref="B83:D83"/>
    <mergeCell ref="E83:G83"/>
    <mergeCell ref="H83:J83"/>
    <mergeCell ref="K83:M83"/>
    <mergeCell ref="N61:N63"/>
    <mergeCell ref="O61:O63"/>
    <mergeCell ref="P61:P63"/>
    <mergeCell ref="B62:D62"/>
    <mergeCell ref="E62:G62"/>
    <mergeCell ref="H62:J62"/>
    <mergeCell ref="K62:M62"/>
    <mergeCell ref="B56:D56"/>
    <mergeCell ref="E56:G56"/>
    <mergeCell ref="H56:J56"/>
    <mergeCell ref="K56:M56"/>
    <mergeCell ref="A61:A63"/>
    <mergeCell ref="B61:G61"/>
    <mergeCell ref="H61:M61"/>
    <mergeCell ref="B54:D54"/>
    <mergeCell ref="E54:G54"/>
    <mergeCell ref="H54:J54"/>
    <mergeCell ref="K54:M54"/>
    <mergeCell ref="B55:D55"/>
    <mergeCell ref="E55:G55"/>
    <mergeCell ref="H55:J55"/>
    <mergeCell ref="K55:M55"/>
    <mergeCell ref="N33:N35"/>
    <mergeCell ref="O33:O35"/>
    <mergeCell ref="P33:P35"/>
    <mergeCell ref="B34:D34"/>
    <mergeCell ref="E34:G34"/>
    <mergeCell ref="H34:J34"/>
    <mergeCell ref="K34:M34"/>
    <mergeCell ref="B28:D28"/>
    <mergeCell ref="E28:G28"/>
    <mergeCell ref="H28:J28"/>
    <mergeCell ref="K28:M28"/>
    <mergeCell ref="A33:A35"/>
    <mergeCell ref="B33:G33"/>
    <mergeCell ref="H33:M33"/>
    <mergeCell ref="B26:D26"/>
    <mergeCell ref="E26:G26"/>
    <mergeCell ref="H26:J26"/>
    <mergeCell ref="K26:M26"/>
    <mergeCell ref="B27:D27"/>
    <mergeCell ref="E27:G27"/>
    <mergeCell ref="H27:J27"/>
    <mergeCell ref="K27:M27"/>
    <mergeCell ref="A5:A7"/>
    <mergeCell ref="B5:G5"/>
    <mergeCell ref="H5:M5"/>
    <mergeCell ref="N5:N7"/>
    <mergeCell ref="O5:O7"/>
    <mergeCell ref="P5:P7"/>
    <mergeCell ref="B6:D6"/>
    <mergeCell ref="E6:G6"/>
    <mergeCell ref="H6:J6"/>
    <mergeCell ref="K6:M6"/>
  </mergeCells>
  <phoneticPr fontId="2"/>
  <printOptions horizontalCentered="1"/>
  <pageMargins left="0.39370078740157483" right="0.39370078740157483" top="0.59055118110236227" bottom="0.55118110236220474" header="0.51181102362204722" footer="0.15748031496062992"/>
  <pageSetup paperSize="9" scale="55" firstPageNumber="42" orientation="portrait" useFirstPageNumber="1" r:id="rId1"/>
  <headerFooter alignWithMargins="0"/>
  <colBreaks count="1" manualBreakCount="1">
    <brk id="7" max="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D5FE-D964-458C-83D4-7A62A30766DF}">
  <dimension ref="A1:Q97"/>
  <sheetViews>
    <sheetView showGridLines="0" view="pageBreakPreview" zoomScale="40" zoomScaleNormal="50" zoomScaleSheetLayoutView="40" zoomScalePageLayoutView="50" workbookViewId="0"/>
  </sheetViews>
  <sheetFormatPr defaultColWidth="9" defaultRowHeight="13.5" x14ac:dyDescent="0.15"/>
  <cols>
    <col min="1" max="1" width="29.5" style="181" customWidth="1"/>
    <col min="2" max="13" width="18.25" style="181" customWidth="1"/>
    <col min="14" max="15" width="19.875" style="181" customWidth="1"/>
    <col min="16" max="16" width="14.5" style="181" customWidth="1"/>
    <col min="17" max="17" width="8.125" style="181" customWidth="1"/>
    <col min="18" max="16384" width="9" style="181"/>
  </cols>
  <sheetData>
    <row r="1" spans="1:17" ht="78" customHeight="1" x14ac:dyDescent="0.3">
      <c r="A1" s="178"/>
      <c r="B1" s="178"/>
      <c r="C1" s="178"/>
      <c r="D1" s="178"/>
      <c r="E1" s="178"/>
      <c r="F1" s="281"/>
      <c r="G1" s="180"/>
      <c r="H1" s="180"/>
      <c r="I1" s="180"/>
      <c r="J1" s="180"/>
      <c r="K1" s="180"/>
      <c r="L1" s="180"/>
      <c r="M1" s="180"/>
      <c r="N1" s="180"/>
      <c r="O1" s="180"/>
    </row>
    <row r="2" spans="1:17" ht="43.5" customHeight="1" x14ac:dyDescent="0.25">
      <c r="A2" s="183" t="s">
        <v>78</v>
      </c>
      <c r="G2" s="185"/>
      <c r="L2" s="184"/>
      <c r="M2" s="184"/>
      <c r="N2" s="184"/>
      <c r="O2" s="282" t="s">
        <v>79</v>
      </c>
      <c r="P2" s="282"/>
    </row>
    <row r="3" spans="1:17" ht="27" customHeight="1" x14ac:dyDescent="0.2">
      <c r="L3" s="186"/>
      <c r="M3" s="186"/>
      <c r="N3" s="186"/>
      <c r="O3" s="283"/>
      <c r="P3" s="283"/>
    </row>
    <row r="4" spans="1:17" s="195" customFormat="1" ht="24" customHeight="1" x14ac:dyDescent="0.2">
      <c r="A4" s="188" t="s">
        <v>71</v>
      </c>
      <c r="B4" s="189" t="s">
        <v>72</v>
      </c>
      <c r="C4" s="189"/>
      <c r="D4" s="189"/>
      <c r="E4" s="189"/>
      <c r="F4" s="189"/>
      <c r="G4" s="189"/>
      <c r="H4" s="190" t="s">
        <v>72</v>
      </c>
      <c r="I4" s="191"/>
      <c r="J4" s="191"/>
      <c r="K4" s="191"/>
      <c r="L4" s="191"/>
      <c r="M4" s="191"/>
      <c r="N4" s="192" t="s">
        <v>65</v>
      </c>
      <c r="O4" s="193" t="s">
        <v>54</v>
      </c>
      <c r="P4" s="255" t="s">
        <v>50</v>
      </c>
      <c r="Q4" s="284"/>
    </row>
    <row r="5" spans="1:17" s="195" customFormat="1" ht="24" customHeight="1" x14ac:dyDescent="0.2">
      <c r="A5" s="196"/>
      <c r="B5" s="189" t="s">
        <v>22</v>
      </c>
      <c r="C5" s="189"/>
      <c r="D5" s="189"/>
      <c r="E5" s="189" t="s">
        <v>23</v>
      </c>
      <c r="F5" s="189"/>
      <c r="G5" s="189"/>
      <c r="H5" s="189" t="s">
        <v>24</v>
      </c>
      <c r="I5" s="189"/>
      <c r="J5" s="189"/>
      <c r="K5" s="197" t="s">
        <v>42</v>
      </c>
      <c r="L5" s="189"/>
      <c r="M5" s="189"/>
      <c r="N5" s="198"/>
      <c r="O5" s="199"/>
      <c r="P5" s="256"/>
      <c r="Q5" s="284"/>
    </row>
    <row r="6" spans="1:17" s="195" customFormat="1" ht="24" customHeight="1" thickBot="1" x14ac:dyDescent="0.25">
      <c r="A6" s="200"/>
      <c r="B6" s="201" t="s">
        <v>6</v>
      </c>
      <c r="C6" s="201" t="s">
        <v>7</v>
      </c>
      <c r="D6" s="201" t="s">
        <v>8</v>
      </c>
      <c r="E6" s="201" t="s">
        <v>0</v>
      </c>
      <c r="F6" s="201" t="s">
        <v>1</v>
      </c>
      <c r="G6" s="201" t="s">
        <v>2</v>
      </c>
      <c r="H6" s="201" t="s">
        <v>3</v>
      </c>
      <c r="I6" s="201" t="s">
        <v>4</v>
      </c>
      <c r="J6" s="201" t="s">
        <v>5</v>
      </c>
      <c r="K6" s="201" t="s">
        <v>43</v>
      </c>
      <c r="L6" s="201" t="s">
        <v>44</v>
      </c>
      <c r="M6" s="201" t="s">
        <v>45</v>
      </c>
      <c r="N6" s="202"/>
      <c r="O6" s="203"/>
      <c r="P6" s="258"/>
      <c r="Q6" s="284"/>
    </row>
    <row r="7" spans="1:17" s="210" customFormat="1" ht="43.5" customHeight="1" thickTop="1" x14ac:dyDescent="0.15">
      <c r="A7" s="264" t="s">
        <v>37</v>
      </c>
      <c r="B7" s="220">
        <v>138111</v>
      </c>
      <c r="C7" s="220">
        <v>126453</v>
      </c>
      <c r="D7" s="220">
        <v>173050</v>
      </c>
      <c r="E7" s="220">
        <v>264873</v>
      </c>
      <c r="F7" s="220">
        <v>296633</v>
      </c>
      <c r="G7" s="220">
        <v>227974</v>
      </c>
      <c r="H7" s="220">
        <v>355609</v>
      </c>
      <c r="I7" s="220">
        <v>395040</v>
      </c>
      <c r="J7" s="220">
        <v>266836</v>
      </c>
      <c r="K7" s="220">
        <v>266073</v>
      </c>
      <c r="L7" s="220">
        <v>490931</v>
      </c>
      <c r="M7" s="220">
        <v>123094</v>
      </c>
      <c r="N7" s="221">
        <v>3124677</v>
      </c>
      <c r="O7" s="285">
        <v>3066028</v>
      </c>
      <c r="P7" s="261">
        <v>1.9128657663922244E-2</v>
      </c>
      <c r="Q7" s="246"/>
    </row>
    <row r="8" spans="1:17" s="210" customFormat="1" ht="43.5" hidden="1" customHeight="1" x14ac:dyDescent="0.15">
      <c r="A8" s="273"/>
      <c r="B8" s="212">
        <v>117431</v>
      </c>
      <c r="C8" s="212">
        <v>160588</v>
      </c>
      <c r="D8" s="212">
        <v>189358</v>
      </c>
      <c r="E8" s="212">
        <v>216168</v>
      </c>
      <c r="F8" s="212">
        <v>249764</v>
      </c>
      <c r="G8" s="212">
        <v>215061</v>
      </c>
      <c r="H8" s="212">
        <v>376362</v>
      </c>
      <c r="I8" s="212">
        <v>414327</v>
      </c>
      <c r="J8" s="212">
        <v>252827</v>
      </c>
      <c r="K8" s="212">
        <v>254973</v>
      </c>
      <c r="L8" s="212">
        <v>485470</v>
      </c>
      <c r="M8" s="212">
        <v>133699</v>
      </c>
      <c r="N8" s="213">
        <v>3066028</v>
      </c>
      <c r="O8" s="286"/>
      <c r="P8" s="287"/>
      <c r="Q8" s="288"/>
    </row>
    <row r="9" spans="1:17" s="210" customFormat="1" ht="43.5" hidden="1" customHeight="1" x14ac:dyDescent="0.15">
      <c r="A9" s="273"/>
      <c r="B9" s="216">
        <v>0.17610341391966355</v>
      </c>
      <c r="C9" s="216">
        <v>-0.2125625825092784</v>
      </c>
      <c r="D9" s="216">
        <v>-8.6122582621278254E-2</v>
      </c>
      <c r="E9" s="216">
        <v>0.22531086932385924</v>
      </c>
      <c r="F9" s="216">
        <v>0.1876531445684726</v>
      </c>
      <c r="G9" s="216">
        <v>6.0043429538596094E-2</v>
      </c>
      <c r="H9" s="216">
        <v>-5.514106099978211E-2</v>
      </c>
      <c r="I9" s="216">
        <v>-4.6550188619134181E-2</v>
      </c>
      <c r="J9" s="216">
        <v>5.5409430163708695E-2</v>
      </c>
      <c r="K9" s="216">
        <v>4.3534021249308719E-2</v>
      </c>
      <c r="L9" s="216">
        <v>1.1248892825509227E-2</v>
      </c>
      <c r="M9" s="216">
        <v>-7.9319964995998471E-2</v>
      </c>
      <c r="N9" s="216">
        <v>1.9128657663922244E-2</v>
      </c>
      <c r="O9" s="289"/>
      <c r="P9" s="287"/>
      <c r="Q9" s="288"/>
    </row>
    <row r="10" spans="1:17" s="210" customFormat="1" ht="43.5" customHeight="1" x14ac:dyDescent="0.15">
      <c r="A10" s="264" t="s">
        <v>15</v>
      </c>
      <c r="B10" s="220">
        <v>79934</v>
      </c>
      <c r="C10" s="220">
        <v>74529</v>
      </c>
      <c r="D10" s="220">
        <v>71427</v>
      </c>
      <c r="E10" s="220">
        <v>185017</v>
      </c>
      <c r="F10" s="220">
        <v>303656</v>
      </c>
      <c r="G10" s="220">
        <v>222993</v>
      </c>
      <c r="H10" s="220">
        <v>265396</v>
      </c>
      <c r="I10" s="220">
        <v>373591</v>
      </c>
      <c r="J10" s="220">
        <v>172186</v>
      </c>
      <c r="K10" s="220">
        <v>242589</v>
      </c>
      <c r="L10" s="220">
        <v>135048</v>
      </c>
      <c r="M10" s="220">
        <v>46545</v>
      </c>
      <c r="N10" s="221">
        <v>2172911</v>
      </c>
      <c r="O10" s="285">
        <v>1957814</v>
      </c>
      <c r="P10" s="261">
        <v>0.10986590145948494</v>
      </c>
      <c r="Q10" s="246"/>
    </row>
    <row r="11" spans="1:17" s="210" customFormat="1" ht="43.5" hidden="1" customHeight="1" x14ac:dyDescent="0.15">
      <c r="A11" s="273"/>
      <c r="B11" s="290">
        <v>62156</v>
      </c>
      <c r="C11" s="290">
        <v>101377</v>
      </c>
      <c r="D11" s="290">
        <v>79186</v>
      </c>
      <c r="E11" s="290">
        <v>158186</v>
      </c>
      <c r="F11" s="290">
        <v>215413</v>
      </c>
      <c r="G11" s="290">
        <v>201235</v>
      </c>
      <c r="H11" s="290">
        <v>255276</v>
      </c>
      <c r="I11" s="290">
        <v>308489</v>
      </c>
      <c r="J11" s="290">
        <v>148476</v>
      </c>
      <c r="K11" s="290">
        <v>219949</v>
      </c>
      <c r="L11" s="290">
        <v>151270</v>
      </c>
      <c r="M11" s="290">
        <v>56801</v>
      </c>
      <c r="N11" s="213">
        <v>1957814</v>
      </c>
      <c r="O11" s="286"/>
      <c r="P11" s="287"/>
      <c r="Q11" s="288"/>
    </row>
    <row r="12" spans="1:17" s="210" customFormat="1" ht="43.5" hidden="1" customHeight="1" x14ac:dyDescent="0.15">
      <c r="A12" s="273"/>
      <c r="B12" s="216">
        <v>0.28602226655511931</v>
      </c>
      <c r="C12" s="216">
        <v>-0.2648332461998284</v>
      </c>
      <c r="D12" s="216">
        <v>-9.7984492208218588E-2</v>
      </c>
      <c r="E12" s="216">
        <v>0.16961678024603954</v>
      </c>
      <c r="F12" s="216">
        <v>0.40964565741157677</v>
      </c>
      <c r="G12" s="216">
        <v>0.10812234452257319</v>
      </c>
      <c r="H12" s="216">
        <v>3.964336639558752E-2</v>
      </c>
      <c r="I12" s="216">
        <v>0.21103507742577521</v>
      </c>
      <c r="J12" s="216">
        <v>0.15968910800398728</v>
      </c>
      <c r="K12" s="216">
        <v>0.1029329526390208</v>
      </c>
      <c r="L12" s="216">
        <v>-0.10723871223639847</v>
      </c>
      <c r="M12" s="216">
        <v>-0.18056020140490481</v>
      </c>
      <c r="N12" s="216">
        <v>0.10986590145948494</v>
      </c>
      <c r="O12" s="289"/>
      <c r="P12" s="287"/>
      <c r="Q12" s="288"/>
    </row>
    <row r="13" spans="1:17" s="210" customFormat="1" ht="43.5" customHeight="1" x14ac:dyDescent="0.15">
      <c r="A13" s="264" t="s">
        <v>16</v>
      </c>
      <c r="B13" s="220">
        <v>784405</v>
      </c>
      <c r="C13" s="220">
        <v>750667</v>
      </c>
      <c r="D13" s="220">
        <v>711459</v>
      </c>
      <c r="E13" s="220">
        <v>155508</v>
      </c>
      <c r="F13" s="220">
        <v>146269</v>
      </c>
      <c r="G13" s="220">
        <v>58341</v>
      </c>
      <c r="H13" s="220">
        <v>80822</v>
      </c>
      <c r="I13" s="220">
        <v>139314</v>
      </c>
      <c r="J13" s="220">
        <v>77764</v>
      </c>
      <c r="K13" s="220">
        <v>96585</v>
      </c>
      <c r="L13" s="220">
        <v>56028</v>
      </c>
      <c r="M13" s="220">
        <v>290196</v>
      </c>
      <c r="N13" s="221">
        <v>3347358</v>
      </c>
      <c r="O13" s="285">
        <v>2502253</v>
      </c>
      <c r="P13" s="261">
        <v>0.33773763084708053</v>
      </c>
      <c r="Q13" s="246"/>
    </row>
    <row r="14" spans="1:17" s="210" customFormat="1" ht="43.5" hidden="1" customHeight="1" x14ac:dyDescent="0.15">
      <c r="A14" s="273"/>
      <c r="B14" s="290">
        <v>441971</v>
      </c>
      <c r="C14" s="290">
        <v>594337</v>
      </c>
      <c r="D14" s="290">
        <v>585747</v>
      </c>
      <c r="E14" s="290">
        <v>115736</v>
      </c>
      <c r="F14" s="290">
        <v>83627</v>
      </c>
      <c r="G14" s="290">
        <v>48223</v>
      </c>
      <c r="H14" s="290">
        <v>74155</v>
      </c>
      <c r="I14" s="290">
        <v>92255</v>
      </c>
      <c r="J14" s="290">
        <v>57024</v>
      </c>
      <c r="K14" s="290">
        <v>62584</v>
      </c>
      <c r="L14" s="290">
        <v>60242</v>
      </c>
      <c r="M14" s="290">
        <v>286352</v>
      </c>
      <c r="N14" s="213">
        <v>2502253</v>
      </c>
      <c r="O14" s="286"/>
      <c r="P14" s="287"/>
      <c r="Q14" s="288"/>
    </row>
    <row r="15" spans="1:17" s="210" customFormat="1" ht="43.5" hidden="1" customHeight="1" x14ac:dyDescent="0.15">
      <c r="A15" s="273"/>
      <c r="B15" s="216">
        <v>0.77478839109353337</v>
      </c>
      <c r="C15" s="216">
        <v>0.26303258925491768</v>
      </c>
      <c r="D15" s="216">
        <v>0.21461825668761425</v>
      </c>
      <c r="E15" s="216">
        <v>0.34364415566461592</v>
      </c>
      <c r="F15" s="216">
        <v>0.7490642974159063</v>
      </c>
      <c r="G15" s="216">
        <v>0.2098168923542707</v>
      </c>
      <c r="H15" s="216">
        <v>8.990627739194923E-2</v>
      </c>
      <c r="I15" s="216">
        <v>0.51009701371199401</v>
      </c>
      <c r="J15" s="216">
        <v>0.36370650953984285</v>
      </c>
      <c r="K15" s="216">
        <v>0.54328582385274182</v>
      </c>
      <c r="L15" s="216">
        <v>-6.9951196839414309E-2</v>
      </c>
      <c r="M15" s="216">
        <v>1.3424037548192436E-2</v>
      </c>
      <c r="N15" s="216">
        <v>0.33773763084708053</v>
      </c>
      <c r="O15" s="289"/>
      <c r="P15" s="287"/>
      <c r="Q15" s="288"/>
    </row>
    <row r="16" spans="1:17" s="210" customFormat="1" ht="43.5" customHeight="1" x14ac:dyDescent="0.15">
      <c r="A16" s="264" t="s">
        <v>17</v>
      </c>
      <c r="B16" s="220">
        <v>206241</v>
      </c>
      <c r="C16" s="220">
        <v>186802</v>
      </c>
      <c r="D16" s="220">
        <v>154447</v>
      </c>
      <c r="E16" s="220">
        <v>112871</v>
      </c>
      <c r="F16" s="220">
        <v>137467</v>
      </c>
      <c r="G16" s="220">
        <v>98969</v>
      </c>
      <c r="H16" s="220">
        <v>187218</v>
      </c>
      <c r="I16" s="220">
        <v>233010</v>
      </c>
      <c r="J16" s="220">
        <v>111559</v>
      </c>
      <c r="K16" s="220">
        <v>117977</v>
      </c>
      <c r="L16" s="220">
        <v>72500</v>
      </c>
      <c r="M16" s="220">
        <v>100815</v>
      </c>
      <c r="N16" s="221">
        <v>1719876</v>
      </c>
      <c r="O16" s="285">
        <v>1450519</v>
      </c>
      <c r="P16" s="261">
        <v>0.18569698156315084</v>
      </c>
      <c r="Q16" s="246"/>
    </row>
    <row r="17" spans="1:17" s="210" customFormat="1" ht="43.5" hidden="1" customHeight="1" x14ac:dyDescent="0.15">
      <c r="A17" s="273"/>
      <c r="B17" s="290">
        <v>137055</v>
      </c>
      <c r="C17" s="290">
        <v>186468</v>
      </c>
      <c r="D17" s="290">
        <v>116786</v>
      </c>
      <c r="E17" s="290">
        <v>79198</v>
      </c>
      <c r="F17" s="290">
        <v>111038</v>
      </c>
      <c r="G17" s="290">
        <v>92036</v>
      </c>
      <c r="H17" s="290">
        <v>169533</v>
      </c>
      <c r="I17" s="290">
        <v>192464</v>
      </c>
      <c r="J17" s="290">
        <v>88466</v>
      </c>
      <c r="K17" s="290">
        <v>111501</v>
      </c>
      <c r="L17" s="290">
        <v>77366</v>
      </c>
      <c r="M17" s="290">
        <v>88608</v>
      </c>
      <c r="N17" s="213">
        <v>1450519</v>
      </c>
      <c r="O17" s="286"/>
      <c r="P17" s="287"/>
      <c r="Q17" s="288"/>
    </row>
    <row r="18" spans="1:17" s="210" customFormat="1" ht="43.5" hidden="1" customHeight="1" x14ac:dyDescent="0.15">
      <c r="A18" s="273"/>
      <c r="B18" s="216">
        <v>0.50480464047280282</v>
      </c>
      <c r="C18" s="216">
        <v>1.7911920544007032E-3</v>
      </c>
      <c r="D18" s="216">
        <v>0.32247872176459502</v>
      </c>
      <c r="E18" s="216">
        <v>0.42517487815348876</v>
      </c>
      <c r="F18" s="216">
        <v>0.23801761559105894</v>
      </c>
      <c r="G18" s="216">
        <v>7.5329219001260439E-2</v>
      </c>
      <c r="H18" s="216">
        <v>0.10431597388119118</v>
      </c>
      <c r="I18" s="216">
        <v>0.21066796907473595</v>
      </c>
      <c r="J18" s="216">
        <v>0.26103813894603567</v>
      </c>
      <c r="K18" s="216">
        <v>5.8080196590165167E-2</v>
      </c>
      <c r="L18" s="216">
        <v>-6.2895845720342236E-2</v>
      </c>
      <c r="M18" s="216">
        <v>0.13776408450704225</v>
      </c>
      <c r="N18" s="216">
        <v>0.18569698156315084</v>
      </c>
      <c r="O18" s="289"/>
      <c r="P18" s="287"/>
      <c r="Q18" s="288"/>
    </row>
    <row r="19" spans="1:17" s="210" customFormat="1" ht="43.5" customHeight="1" thickBot="1" x14ac:dyDescent="0.2">
      <c r="A19" s="201" t="s">
        <v>18</v>
      </c>
      <c r="B19" s="224">
        <v>0</v>
      </c>
      <c r="C19" s="224">
        <v>0</v>
      </c>
      <c r="D19" s="224">
        <v>0</v>
      </c>
      <c r="E19" s="224">
        <v>0</v>
      </c>
      <c r="F19" s="224">
        <v>0</v>
      </c>
      <c r="G19" s="224">
        <v>0</v>
      </c>
      <c r="H19" s="224">
        <v>0</v>
      </c>
      <c r="I19" s="224">
        <v>0</v>
      </c>
      <c r="J19" s="224">
        <v>0</v>
      </c>
      <c r="K19" s="224">
        <v>0</v>
      </c>
      <c r="L19" s="224">
        <v>0</v>
      </c>
      <c r="M19" s="224">
        <v>0</v>
      </c>
      <c r="N19" s="225">
        <v>0</v>
      </c>
      <c r="O19" s="291">
        <v>0</v>
      </c>
      <c r="P19" s="274" t="e">
        <v>#DIV/0!</v>
      </c>
      <c r="Q19" s="246"/>
    </row>
    <row r="20" spans="1:17" s="210" customFormat="1" ht="43.5" hidden="1" customHeight="1" thickTop="1" x14ac:dyDescent="0.15">
      <c r="A20" s="275"/>
      <c r="B20" s="292">
        <v>0</v>
      </c>
      <c r="C20" s="292">
        <v>0</v>
      </c>
      <c r="D20" s="292">
        <v>0</v>
      </c>
      <c r="E20" s="292">
        <v>0</v>
      </c>
      <c r="F20" s="292">
        <v>0</v>
      </c>
      <c r="G20" s="292">
        <v>0</v>
      </c>
      <c r="H20" s="292">
        <v>0</v>
      </c>
      <c r="I20" s="292">
        <v>0</v>
      </c>
      <c r="J20" s="292">
        <v>0</v>
      </c>
      <c r="K20" s="292">
        <v>0</v>
      </c>
      <c r="L20" s="292">
        <v>0</v>
      </c>
      <c r="M20" s="292">
        <v>0</v>
      </c>
      <c r="N20" s="230">
        <v>0</v>
      </c>
      <c r="O20" s="293"/>
      <c r="P20" s="294"/>
      <c r="Q20" s="288"/>
    </row>
    <row r="21" spans="1:17" s="210" customFormat="1" ht="43.5" hidden="1" customHeight="1" x14ac:dyDescent="0.15">
      <c r="A21" s="276"/>
      <c r="B21" s="216" t="e">
        <v>#DIV/0!</v>
      </c>
      <c r="C21" s="216" t="e">
        <v>#DIV/0!</v>
      </c>
      <c r="D21" s="216" t="e">
        <v>#DIV/0!</v>
      </c>
      <c r="E21" s="216" t="e">
        <v>#DIV/0!</v>
      </c>
      <c r="F21" s="216" t="e">
        <v>#DIV/0!</v>
      </c>
      <c r="G21" s="216" t="e">
        <v>#DIV/0!</v>
      </c>
      <c r="H21" s="216" t="e">
        <v>#DIV/0!</v>
      </c>
      <c r="I21" s="216" t="e">
        <v>#DIV/0!</v>
      </c>
      <c r="J21" s="216" t="e">
        <v>#DIV/0!</v>
      </c>
      <c r="K21" s="216" t="e">
        <v>#DIV/0!</v>
      </c>
      <c r="L21" s="216" t="e">
        <v>#DIV/0!</v>
      </c>
      <c r="M21" s="216" t="e">
        <v>#DIV/0!</v>
      </c>
      <c r="N21" s="216" t="e">
        <v>#DIV/0!</v>
      </c>
      <c r="O21" s="289"/>
      <c r="P21" s="287"/>
      <c r="Q21" s="288"/>
    </row>
    <row r="22" spans="1:17" s="210" customFormat="1" ht="43.5" customHeight="1" thickTop="1" x14ac:dyDescent="0.15">
      <c r="A22" s="264" t="s">
        <v>20</v>
      </c>
      <c r="B22" s="221">
        <v>1208691</v>
      </c>
      <c r="C22" s="221">
        <v>1138451</v>
      </c>
      <c r="D22" s="221">
        <v>1110383</v>
      </c>
      <c r="E22" s="221">
        <v>718269</v>
      </c>
      <c r="F22" s="221">
        <v>884025</v>
      </c>
      <c r="G22" s="221">
        <v>608277</v>
      </c>
      <c r="H22" s="221">
        <v>889045</v>
      </c>
      <c r="I22" s="221">
        <v>1140955</v>
      </c>
      <c r="J22" s="221">
        <v>628345</v>
      </c>
      <c r="K22" s="221">
        <v>723224</v>
      </c>
      <c r="L22" s="221">
        <v>754507</v>
      </c>
      <c r="M22" s="221">
        <v>560650</v>
      </c>
      <c r="N22" s="221">
        <v>10364822</v>
      </c>
      <c r="O22" s="285">
        <v>8976614</v>
      </c>
      <c r="P22" s="261">
        <v>0.15464717542717099</v>
      </c>
      <c r="Q22" s="246"/>
    </row>
    <row r="23" spans="1:17" s="210" customFormat="1" ht="43.5" hidden="1" customHeight="1" x14ac:dyDescent="0.15">
      <c r="A23" s="273"/>
      <c r="B23" s="213">
        <v>758613</v>
      </c>
      <c r="C23" s="213">
        <v>1042770</v>
      </c>
      <c r="D23" s="213">
        <v>971077</v>
      </c>
      <c r="E23" s="213">
        <v>569288</v>
      </c>
      <c r="F23" s="213">
        <v>659842</v>
      </c>
      <c r="G23" s="213">
        <v>556555</v>
      </c>
      <c r="H23" s="213">
        <v>875326</v>
      </c>
      <c r="I23" s="213">
        <v>1007535</v>
      </c>
      <c r="J23" s="213">
        <v>546793</v>
      </c>
      <c r="K23" s="213">
        <v>649007</v>
      </c>
      <c r="L23" s="213">
        <v>774348</v>
      </c>
      <c r="M23" s="213">
        <v>565460</v>
      </c>
      <c r="N23" s="213">
        <v>8976614</v>
      </c>
      <c r="O23" s="243"/>
      <c r="P23" s="295"/>
      <c r="Q23" s="295"/>
    </row>
    <row r="24" spans="1:17" s="210" customFormat="1" ht="43.5" customHeight="1" x14ac:dyDescent="0.15">
      <c r="A24" s="264" t="s">
        <v>49</v>
      </c>
      <c r="B24" s="135">
        <v>0.59329065017340854</v>
      </c>
      <c r="C24" s="135">
        <v>9.1756571439531198E-2</v>
      </c>
      <c r="D24" s="135">
        <v>0.14345515340184156</v>
      </c>
      <c r="E24" s="135">
        <v>0.26169706721378283</v>
      </c>
      <c r="F24" s="135">
        <v>0.33975254682181499</v>
      </c>
      <c r="G24" s="135">
        <v>9.2932414586159418E-2</v>
      </c>
      <c r="H24" s="135">
        <v>1.5673017824216373E-2</v>
      </c>
      <c r="I24" s="135">
        <v>0.13242219873255023</v>
      </c>
      <c r="J24" s="135">
        <v>0.14914602052330594</v>
      </c>
      <c r="K24" s="135">
        <v>0.11435469879369564</v>
      </c>
      <c r="L24" s="135">
        <v>-2.562284657544156E-2</v>
      </c>
      <c r="M24" s="135">
        <v>-8.5063488133555465E-3</v>
      </c>
      <c r="N24" s="135">
        <v>0.15464717542717099</v>
      </c>
      <c r="O24" s="246"/>
      <c r="P24" s="295"/>
      <c r="Q24" s="295"/>
    </row>
    <row r="25" spans="1:17" s="210" customFormat="1" ht="43.5" customHeight="1" x14ac:dyDescent="0.15">
      <c r="A25" s="264" t="s">
        <v>21</v>
      </c>
      <c r="B25" s="241">
        <v>3457525</v>
      </c>
      <c r="C25" s="241"/>
      <c r="D25" s="241"/>
      <c r="E25" s="241">
        <v>2210571</v>
      </c>
      <c r="F25" s="241"/>
      <c r="G25" s="241"/>
      <c r="H25" s="241">
        <v>2658345</v>
      </c>
      <c r="I25" s="241"/>
      <c r="J25" s="241"/>
      <c r="K25" s="241">
        <v>2038381</v>
      </c>
      <c r="L25" s="241"/>
      <c r="M25" s="241"/>
      <c r="N25" s="277"/>
      <c r="O25" s="243"/>
      <c r="P25" s="295"/>
      <c r="Q25" s="295"/>
    </row>
    <row r="26" spans="1:17" s="210" customFormat="1" ht="43.5" hidden="1" customHeight="1" x14ac:dyDescent="0.15">
      <c r="A26" s="273" t="s">
        <v>73</v>
      </c>
      <c r="B26" s="244">
        <v>2772460</v>
      </c>
      <c r="C26" s="244"/>
      <c r="D26" s="244"/>
      <c r="E26" s="244">
        <v>1785685</v>
      </c>
      <c r="F26" s="244"/>
      <c r="G26" s="244"/>
      <c r="H26" s="244">
        <v>2429654</v>
      </c>
      <c r="I26" s="244"/>
      <c r="J26" s="244"/>
      <c r="K26" s="244">
        <v>1988815</v>
      </c>
      <c r="L26" s="244"/>
      <c r="M26" s="244"/>
      <c r="N26" s="242"/>
      <c r="O26" s="243"/>
      <c r="P26" s="295"/>
      <c r="Q26" s="295"/>
    </row>
    <row r="27" spans="1:17" s="210" customFormat="1" ht="43.5" customHeight="1" x14ac:dyDescent="0.15">
      <c r="A27" s="264" t="s">
        <v>49</v>
      </c>
      <c r="B27" s="159">
        <v>0.24709644142746878</v>
      </c>
      <c r="C27" s="159"/>
      <c r="D27" s="159"/>
      <c r="E27" s="159">
        <v>0.23794006221702046</v>
      </c>
      <c r="F27" s="159"/>
      <c r="G27" s="159"/>
      <c r="H27" s="159">
        <v>9.4124924783528741E-2</v>
      </c>
      <c r="I27" s="159"/>
      <c r="J27" s="159"/>
      <c r="K27" s="159">
        <v>2.49223784012087E-2</v>
      </c>
      <c r="L27" s="159"/>
      <c r="M27" s="159"/>
      <c r="N27" s="245"/>
      <c r="O27" s="246"/>
      <c r="P27" s="295"/>
      <c r="Q27" s="295"/>
    </row>
    <row r="28" spans="1:17" s="195" customFormat="1" ht="43.5" customHeight="1" x14ac:dyDescent="0.2">
      <c r="A28" s="296"/>
    </row>
    <row r="29" spans="1:17" s="195" customFormat="1" ht="43.5" customHeight="1" x14ac:dyDescent="0.2"/>
    <row r="30" spans="1:17" s="195" customFormat="1" ht="43.5" customHeight="1" x14ac:dyDescent="0.2"/>
    <row r="31" spans="1:17" s="195" customFormat="1" ht="21" x14ac:dyDescent="0.2"/>
    <row r="32" spans="1:17" s="195" customFormat="1" ht="21" x14ac:dyDescent="0.2"/>
    <row r="33" spans="1:17" s="195" customFormat="1" ht="43.5" customHeight="1" x14ac:dyDescent="0.25">
      <c r="A33" s="183" t="s">
        <v>80</v>
      </c>
      <c r="L33" s="297"/>
      <c r="M33" s="297"/>
      <c r="N33" s="297"/>
      <c r="O33" s="282" t="s">
        <v>79</v>
      </c>
      <c r="P33" s="282"/>
    </row>
    <row r="34" spans="1:17" s="195" customFormat="1" ht="27" customHeight="1" x14ac:dyDescent="0.2">
      <c r="L34" s="297"/>
      <c r="M34" s="297"/>
      <c r="N34" s="297"/>
      <c r="O34" s="283"/>
      <c r="P34" s="283"/>
    </row>
    <row r="35" spans="1:17" s="195" customFormat="1" ht="24" customHeight="1" x14ac:dyDescent="0.2">
      <c r="A35" s="188" t="s">
        <v>71</v>
      </c>
      <c r="B35" s="189" t="s">
        <v>72</v>
      </c>
      <c r="C35" s="189"/>
      <c r="D35" s="189"/>
      <c r="E35" s="189"/>
      <c r="F35" s="189"/>
      <c r="G35" s="189"/>
      <c r="H35" s="190" t="s">
        <v>72</v>
      </c>
      <c r="I35" s="191"/>
      <c r="J35" s="191"/>
      <c r="K35" s="191"/>
      <c r="L35" s="191"/>
      <c r="M35" s="191"/>
      <c r="N35" s="192" t="s">
        <v>66</v>
      </c>
      <c r="O35" s="193" t="s">
        <v>67</v>
      </c>
      <c r="P35" s="255" t="s">
        <v>50</v>
      </c>
      <c r="Q35" s="284"/>
    </row>
    <row r="36" spans="1:17" s="195" customFormat="1" ht="24" customHeight="1" x14ac:dyDescent="0.2">
      <c r="A36" s="196"/>
      <c r="B36" s="189" t="s">
        <v>22</v>
      </c>
      <c r="C36" s="189"/>
      <c r="D36" s="189"/>
      <c r="E36" s="189" t="s">
        <v>23</v>
      </c>
      <c r="F36" s="189"/>
      <c r="G36" s="189"/>
      <c r="H36" s="189" t="s">
        <v>24</v>
      </c>
      <c r="I36" s="189"/>
      <c r="J36" s="189"/>
      <c r="K36" s="197" t="s">
        <v>42</v>
      </c>
      <c r="L36" s="189"/>
      <c r="M36" s="189"/>
      <c r="N36" s="198"/>
      <c r="O36" s="199"/>
      <c r="P36" s="256"/>
      <c r="Q36" s="284"/>
    </row>
    <row r="37" spans="1:17" s="195" customFormat="1" ht="24" customHeight="1" thickBot="1" x14ac:dyDescent="0.25">
      <c r="A37" s="200"/>
      <c r="B37" s="201" t="s">
        <v>6</v>
      </c>
      <c r="C37" s="201" t="s">
        <v>7</v>
      </c>
      <c r="D37" s="201" t="s">
        <v>8</v>
      </c>
      <c r="E37" s="201" t="s">
        <v>0</v>
      </c>
      <c r="F37" s="201" t="s">
        <v>1</v>
      </c>
      <c r="G37" s="201" t="s">
        <v>2</v>
      </c>
      <c r="H37" s="201" t="s">
        <v>3</v>
      </c>
      <c r="I37" s="201" t="s">
        <v>4</v>
      </c>
      <c r="J37" s="201" t="s">
        <v>5</v>
      </c>
      <c r="K37" s="201" t="s">
        <v>43</v>
      </c>
      <c r="L37" s="201" t="s">
        <v>44</v>
      </c>
      <c r="M37" s="201" t="s">
        <v>45</v>
      </c>
      <c r="N37" s="202"/>
      <c r="O37" s="203"/>
      <c r="P37" s="258"/>
      <c r="Q37" s="284"/>
    </row>
    <row r="38" spans="1:17" s="210" customFormat="1" ht="42.75" customHeight="1" thickTop="1" x14ac:dyDescent="0.15">
      <c r="A38" s="264" t="s">
        <v>37</v>
      </c>
      <c r="B38" s="220">
        <v>368834</v>
      </c>
      <c r="C38" s="220">
        <v>330390</v>
      </c>
      <c r="D38" s="220">
        <v>530062</v>
      </c>
      <c r="E38" s="220">
        <v>726194</v>
      </c>
      <c r="F38" s="220">
        <v>894486</v>
      </c>
      <c r="G38" s="220">
        <v>602170</v>
      </c>
      <c r="H38" s="220">
        <v>653586</v>
      </c>
      <c r="I38" s="220">
        <v>832763</v>
      </c>
      <c r="J38" s="220">
        <v>753484</v>
      </c>
      <c r="K38" s="220">
        <v>897594</v>
      </c>
      <c r="L38" s="220">
        <v>775570</v>
      </c>
      <c r="M38" s="220">
        <v>572353</v>
      </c>
      <c r="N38" s="221">
        <v>7937486</v>
      </c>
      <c r="O38" s="285">
        <v>6394850</v>
      </c>
      <c r="P38" s="261">
        <v>0.24123099056271835</v>
      </c>
      <c r="Q38" s="246"/>
    </row>
    <row r="39" spans="1:17" s="210" customFormat="1" ht="32.1" hidden="1" customHeight="1" x14ac:dyDescent="0.15">
      <c r="A39" s="273"/>
      <c r="B39" s="212">
        <v>272548</v>
      </c>
      <c r="C39" s="212">
        <v>379260</v>
      </c>
      <c r="D39" s="212">
        <v>496589</v>
      </c>
      <c r="E39" s="212">
        <v>580364</v>
      </c>
      <c r="F39" s="212">
        <v>665631</v>
      </c>
      <c r="G39" s="212">
        <v>505015</v>
      </c>
      <c r="H39" s="212">
        <v>540300</v>
      </c>
      <c r="I39" s="212">
        <v>589704</v>
      </c>
      <c r="J39" s="212">
        <v>553797</v>
      </c>
      <c r="K39" s="212">
        <v>666190</v>
      </c>
      <c r="L39" s="212">
        <v>647762</v>
      </c>
      <c r="M39" s="212">
        <v>497690</v>
      </c>
      <c r="N39" s="213">
        <v>6394850</v>
      </c>
      <c r="O39" s="286"/>
      <c r="P39" s="287"/>
      <c r="Q39" s="288"/>
    </row>
    <row r="40" spans="1:17" s="210" customFormat="1" ht="32.1" hidden="1" customHeight="1" x14ac:dyDescent="0.15">
      <c r="A40" s="273"/>
      <c r="B40" s="216">
        <v>0.35328088997167462</v>
      </c>
      <c r="C40" s="216">
        <v>-0.12885619364024681</v>
      </c>
      <c r="D40" s="216">
        <v>6.7405842658617043E-2</v>
      </c>
      <c r="E40" s="216">
        <v>0.25127333880116609</v>
      </c>
      <c r="F40" s="216">
        <v>0.34381661911779959</v>
      </c>
      <c r="G40" s="216">
        <v>0.1923804243438314</v>
      </c>
      <c r="H40" s="216">
        <v>0.20967240421987787</v>
      </c>
      <c r="I40" s="216">
        <v>0.41217119097038513</v>
      </c>
      <c r="J40" s="216">
        <v>0.36057797351737197</v>
      </c>
      <c r="K40" s="216">
        <v>0.34735435836623196</v>
      </c>
      <c r="L40" s="216">
        <v>0.19730703560875762</v>
      </c>
      <c r="M40" s="216">
        <v>0.15001908818742593</v>
      </c>
      <c r="N40" s="216">
        <v>0.24123099056271835</v>
      </c>
      <c r="O40" s="289"/>
      <c r="P40" s="287"/>
      <c r="Q40" s="288"/>
    </row>
    <row r="41" spans="1:17" s="210" customFormat="1" ht="42.75" customHeight="1" x14ac:dyDescent="0.15">
      <c r="A41" s="264" t="s">
        <v>15</v>
      </c>
      <c r="B41" s="220">
        <v>249684</v>
      </c>
      <c r="C41" s="220">
        <v>216207</v>
      </c>
      <c r="D41" s="220">
        <v>386107</v>
      </c>
      <c r="E41" s="220">
        <v>518986</v>
      </c>
      <c r="F41" s="220">
        <v>779539</v>
      </c>
      <c r="G41" s="220">
        <v>488487</v>
      </c>
      <c r="H41" s="220">
        <v>517260</v>
      </c>
      <c r="I41" s="220">
        <v>849117</v>
      </c>
      <c r="J41" s="220">
        <v>536718</v>
      </c>
      <c r="K41" s="220">
        <v>705281</v>
      </c>
      <c r="L41" s="220">
        <v>688377</v>
      </c>
      <c r="M41" s="220">
        <v>462476</v>
      </c>
      <c r="N41" s="221">
        <v>6398239</v>
      </c>
      <c r="O41" s="285">
        <v>5457415</v>
      </c>
      <c r="P41" s="261">
        <v>0.1723937065442156</v>
      </c>
      <c r="Q41" s="246"/>
    </row>
    <row r="42" spans="1:17" s="210" customFormat="1" ht="32.1" hidden="1" customHeight="1" x14ac:dyDescent="0.15">
      <c r="A42" s="273"/>
      <c r="B42" s="290">
        <v>178769</v>
      </c>
      <c r="C42" s="290">
        <v>294199</v>
      </c>
      <c r="D42" s="290">
        <v>391734</v>
      </c>
      <c r="E42" s="290">
        <v>422175</v>
      </c>
      <c r="F42" s="290">
        <v>495873</v>
      </c>
      <c r="G42" s="290">
        <v>413678</v>
      </c>
      <c r="H42" s="290">
        <v>471103</v>
      </c>
      <c r="I42" s="290">
        <v>637765</v>
      </c>
      <c r="J42" s="290">
        <v>467078</v>
      </c>
      <c r="K42" s="290">
        <v>601718</v>
      </c>
      <c r="L42" s="290">
        <v>649685</v>
      </c>
      <c r="M42" s="290">
        <v>433638</v>
      </c>
      <c r="N42" s="213">
        <v>5457415</v>
      </c>
      <c r="O42" s="286"/>
      <c r="P42" s="287"/>
      <c r="Q42" s="288"/>
    </row>
    <row r="43" spans="1:17" s="210" customFormat="1" ht="32.1" hidden="1" customHeight="1" x14ac:dyDescent="0.15">
      <c r="A43" s="273"/>
      <c r="B43" s="216">
        <v>0.39668510759695463</v>
      </c>
      <c r="C43" s="216">
        <v>-0.2650994734856339</v>
      </c>
      <c r="D43" s="216">
        <v>-1.4364339066815779E-2</v>
      </c>
      <c r="E43" s="216">
        <v>0.22931485758275594</v>
      </c>
      <c r="F43" s="216">
        <v>0.57205373149979932</v>
      </c>
      <c r="G43" s="216">
        <v>0.18083871997060519</v>
      </c>
      <c r="H43" s="216">
        <v>9.797645100965191E-2</v>
      </c>
      <c r="I43" s="216">
        <v>0.33139479275281647</v>
      </c>
      <c r="J43" s="216">
        <v>0.14909715293805315</v>
      </c>
      <c r="K43" s="216">
        <v>0.17211218544234996</v>
      </c>
      <c r="L43" s="216">
        <v>5.9555015122713328E-2</v>
      </c>
      <c r="M43" s="216">
        <v>6.6502474414142698E-2</v>
      </c>
      <c r="N43" s="216">
        <v>0.1723937065442156</v>
      </c>
      <c r="O43" s="289"/>
      <c r="P43" s="287"/>
      <c r="Q43" s="288"/>
    </row>
    <row r="44" spans="1:17" s="210" customFormat="1" ht="42.75" customHeight="1" x14ac:dyDescent="0.15">
      <c r="A44" s="264" t="s">
        <v>16</v>
      </c>
      <c r="B44" s="220">
        <v>65386</v>
      </c>
      <c r="C44" s="220">
        <v>59867</v>
      </c>
      <c r="D44" s="220">
        <v>88070</v>
      </c>
      <c r="E44" s="220">
        <v>114668</v>
      </c>
      <c r="F44" s="220">
        <v>192614</v>
      </c>
      <c r="G44" s="220">
        <v>130373</v>
      </c>
      <c r="H44" s="220">
        <v>155479</v>
      </c>
      <c r="I44" s="220">
        <v>205722</v>
      </c>
      <c r="J44" s="220">
        <v>166877</v>
      </c>
      <c r="K44" s="220">
        <v>223250</v>
      </c>
      <c r="L44" s="220">
        <v>155911</v>
      </c>
      <c r="M44" s="220">
        <v>83117</v>
      </c>
      <c r="N44" s="221">
        <v>1641334</v>
      </c>
      <c r="O44" s="285">
        <v>1306962</v>
      </c>
      <c r="P44" s="261">
        <v>0.25583911391455905</v>
      </c>
      <c r="Q44" s="246"/>
    </row>
    <row r="45" spans="1:17" s="210" customFormat="1" ht="32.1" hidden="1" customHeight="1" x14ac:dyDescent="0.15">
      <c r="A45" s="273"/>
      <c r="B45" s="290">
        <v>36749</v>
      </c>
      <c r="C45" s="290">
        <v>48035</v>
      </c>
      <c r="D45" s="290">
        <v>72585</v>
      </c>
      <c r="E45" s="290">
        <v>85982</v>
      </c>
      <c r="F45" s="290">
        <v>126634</v>
      </c>
      <c r="G45" s="290">
        <v>96517</v>
      </c>
      <c r="H45" s="290">
        <v>115018</v>
      </c>
      <c r="I45" s="290">
        <v>141354</v>
      </c>
      <c r="J45" s="290">
        <v>155595</v>
      </c>
      <c r="K45" s="290">
        <v>200024</v>
      </c>
      <c r="L45" s="290">
        <v>151415</v>
      </c>
      <c r="M45" s="290">
        <v>77054</v>
      </c>
      <c r="N45" s="213">
        <v>1306962</v>
      </c>
      <c r="O45" s="286"/>
      <c r="P45" s="287"/>
      <c r="Q45" s="288"/>
    </row>
    <row r="46" spans="1:17" s="210" customFormat="1" ht="32.1" hidden="1" customHeight="1" x14ac:dyDescent="0.15">
      <c r="A46" s="273"/>
      <c r="B46" s="216">
        <v>0.7792592995727774</v>
      </c>
      <c r="C46" s="216">
        <v>0.24632039138128459</v>
      </c>
      <c r="D46" s="216">
        <v>0.21333608872356558</v>
      </c>
      <c r="E46" s="216">
        <v>0.33362796864459998</v>
      </c>
      <c r="F46" s="216">
        <v>0.52102910750667286</v>
      </c>
      <c r="G46" s="216">
        <v>0.3507775832236808</v>
      </c>
      <c r="H46" s="216">
        <v>0.35177972143490588</v>
      </c>
      <c r="I46" s="216">
        <v>0.45536737552527695</v>
      </c>
      <c r="J46" s="216">
        <v>7.2508756708120403E-2</v>
      </c>
      <c r="K46" s="216">
        <v>0.11611606607207126</v>
      </c>
      <c r="L46" s="216">
        <v>2.9693227223194452E-2</v>
      </c>
      <c r="M46" s="216">
        <v>7.8685077997248776E-2</v>
      </c>
      <c r="N46" s="216">
        <v>0.25583911391455905</v>
      </c>
      <c r="O46" s="289"/>
      <c r="P46" s="287"/>
      <c r="Q46" s="288"/>
    </row>
    <row r="47" spans="1:17" s="210" customFormat="1" ht="42.75" customHeight="1" x14ac:dyDescent="0.15">
      <c r="A47" s="264" t="s">
        <v>17</v>
      </c>
      <c r="B47" s="220">
        <v>139867</v>
      </c>
      <c r="C47" s="220">
        <v>106580</v>
      </c>
      <c r="D47" s="220">
        <v>157693</v>
      </c>
      <c r="E47" s="220">
        <v>258664</v>
      </c>
      <c r="F47" s="220">
        <v>481284</v>
      </c>
      <c r="G47" s="220">
        <v>386882</v>
      </c>
      <c r="H47" s="220">
        <v>504622</v>
      </c>
      <c r="I47" s="220">
        <v>573944</v>
      </c>
      <c r="J47" s="220">
        <v>334732</v>
      </c>
      <c r="K47" s="220">
        <v>405552</v>
      </c>
      <c r="L47" s="220">
        <v>388832</v>
      </c>
      <c r="M47" s="220">
        <v>159283</v>
      </c>
      <c r="N47" s="221">
        <v>3897935</v>
      </c>
      <c r="O47" s="285">
        <v>3065493</v>
      </c>
      <c r="P47" s="261">
        <v>0.2715524060893304</v>
      </c>
      <c r="Q47" s="246"/>
    </row>
    <row r="48" spans="1:17" s="210" customFormat="1" ht="32.1" hidden="1" customHeight="1" x14ac:dyDescent="0.15">
      <c r="A48" s="273"/>
      <c r="B48" s="290">
        <v>100771</v>
      </c>
      <c r="C48" s="290">
        <v>130863</v>
      </c>
      <c r="D48" s="290">
        <v>151380</v>
      </c>
      <c r="E48" s="290">
        <v>194530</v>
      </c>
      <c r="F48" s="290">
        <v>289380</v>
      </c>
      <c r="G48" s="290">
        <v>245654</v>
      </c>
      <c r="H48" s="290">
        <v>395980</v>
      </c>
      <c r="I48" s="290">
        <v>403698</v>
      </c>
      <c r="J48" s="290">
        <v>275976</v>
      </c>
      <c r="K48" s="290">
        <v>334371</v>
      </c>
      <c r="L48" s="290">
        <v>376660</v>
      </c>
      <c r="M48" s="290">
        <v>166230</v>
      </c>
      <c r="N48" s="213">
        <v>3065493</v>
      </c>
      <c r="O48" s="286"/>
      <c r="P48" s="287"/>
      <c r="Q48" s="288"/>
    </row>
    <row r="49" spans="1:17" s="210" customFormat="1" ht="32.1" hidden="1" customHeight="1" x14ac:dyDescent="0.15">
      <c r="A49" s="273"/>
      <c r="B49" s="216">
        <v>0.38796876085381715</v>
      </c>
      <c r="C49" s="216">
        <v>-0.18556047163827816</v>
      </c>
      <c r="D49" s="216">
        <v>4.1702999075175162E-2</v>
      </c>
      <c r="E49" s="216">
        <v>0.32968693774739122</v>
      </c>
      <c r="F49" s="216">
        <v>0.66315571221231595</v>
      </c>
      <c r="G49" s="216">
        <v>0.57490616883909884</v>
      </c>
      <c r="H49" s="216">
        <v>0.27436234153240058</v>
      </c>
      <c r="I49" s="216">
        <v>0.42171623342201348</v>
      </c>
      <c r="J49" s="216">
        <v>0.21290257123807876</v>
      </c>
      <c r="K49" s="216">
        <v>0.212880303614847</v>
      </c>
      <c r="L49" s="216">
        <v>3.2315616205596642E-2</v>
      </c>
      <c r="M49" s="216">
        <v>-4.1791493713529415E-2</v>
      </c>
      <c r="N49" s="216">
        <v>0.2715524060893304</v>
      </c>
      <c r="O49" s="289"/>
      <c r="P49" s="287"/>
      <c r="Q49" s="288"/>
    </row>
    <row r="50" spans="1:17" s="210" customFormat="1" ht="42.75" customHeight="1" thickBot="1" x14ac:dyDescent="0.2">
      <c r="A50" s="201" t="s">
        <v>18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5">
        <v>0</v>
      </c>
      <c r="O50" s="291">
        <v>0</v>
      </c>
      <c r="P50" s="274" t="s">
        <v>81</v>
      </c>
      <c r="Q50" s="246"/>
    </row>
    <row r="51" spans="1:17" s="210" customFormat="1" ht="32.1" hidden="1" customHeight="1" thickTop="1" x14ac:dyDescent="0.15">
      <c r="A51" s="275"/>
      <c r="B51" s="292">
        <v>0</v>
      </c>
      <c r="C51" s="292">
        <v>0</v>
      </c>
      <c r="D51" s="292">
        <v>0</v>
      </c>
      <c r="E51" s="292">
        <v>0</v>
      </c>
      <c r="F51" s="292">
        <v>0</v>
      </c>
      <c r="G51" s="292">
        <v>0</v>
      </c>
      <c r="H51" s="292">
        <v>0</v>
      </c>
      <c r="I51" s="292">
        <v>0</v>
      </c>
      <c r="J51" s="292">
        <v>0</v>
      </c>
      <c r="K51" s="292">
        <v>0</v>
      </c>
      <c r="L51" s="292">
        <v>0</v>
      </c>
      <c r="M51" s="292">
        <v>0</v>
      </c>
      <c r="N51" s="230">
        <v>0</v>
      </c>
      <c r="O51" s="293"/>
      <c r="P51" s="294"/>
      <c r="Q51" s="288"/>
    </row>
    <row r="52" spans="1:17" s="210" customFormat="1" ht="32.1" hidden="1" customHeight="1" x14ac:dyDescent="0.15">
      <c r="A52" s="276"/>
      <c r="B52" s="216" t="e">
        <v>#DIV/0!</v>
      </c>
      <c r="C52" s="216" t="e">
        <v>#DIV/0!</v>
      </c>
      <c r="D52" s="216" t="e">
        <v>#DIV/0!</v>
      </c>
      <c r="E52" s="216" t="e">
        <v>#DIV/0!</v>
      </c>
      <c r="F52" s="216" t="e">
        <v>#DIV/0!</v>
      </c>
      <c r="G52" s="216" t="e">
        <v>#DIV/0!</v>
      </c>
      <c r="H52" s="216" t="e">
        <v>#DIV/0!</v>
      </c>
      <c r="I52" s="216" t="e">
        <v>#DIV/0!</v>
      </c>
      <c r="J52" s="216" t="e">
        <v>#DIV/0!</v>
      </c>
      <c r="K52" s="216" t="e">
        <v>#DIV/0!</v>
      </c>
      <c r="L52" s="216" t="e">
        <v>#DIV/0!</v>
      </c>
      <c r="M52" s="216" t="e">
        <v>#DIV/0!</v>
      </c>
      <c r="N52" s="216" t="e">
        <v>#DIV/0!</v>
      </c>
      <c r="O52" s="289"/>
      <c r="P52" s="287"/>
      <c r="Q52" s="288"/>
    </row>
    <row r="53" spans="1:17" s="210" customFormat="1" ht="42.75" customHeight="1" thickTop="1" x14ac:dyDescent="0.15">
      <c r="A53" s="264" t="s">
        <v>20</v>
      </c>
      <c r="B53" s="221">
        <v>823771</v>
      </c>
      <c r="C53" s="221">
        <v>713044</v>
      </c>
      <c r="D53" s="221">
        <v>1161932</v>
      </c>
      <c r="E53" s="221">
        <v>1618512</v>
      </c>
      <c r="F53" s="221">
        <v>2347923</v>
      </c>
      <c r="G53" s="221">
        <v>1607912</v>
      </c>
      <c r="H53" s="221">
        <v>1830947</v>
      </c>
      <c r="I53" s="221">
        <v>2461546</v>
      </c>
      <c r="J53" s="221">
        <v>1791811</v>
      </c>
      <c r="K53" s="221">
        <v>2231677</v>
      </c>
      <c r="L53" s="221">
        <v>2008690</v>
      </c>
      <c r="M53" s="221">
        <v>1277229</v>
      </c>
      <c r="N53" s="221">
        <v>19874994</v>
      </c>
      <c r="O53" s="285">
        <v>16224720</v>
      </c>
      <c r="P53" s="261">
        <v>0.22498224930846256</v>
      </c>
      <c r="Q53" s="246"/>
    </row>
    <row r="54" spans="1:17" s="210" customFormat="1" ht="32.1" hidden="1" customHeight="1" x14ac:dyDescent="0.15">
      <c r="A54" s="273"/>
      <c r="B54" s="213">
        <v>588837</v>
      </c>
      <c r="C54" s="213">
        <v>852357</v>
      </c>
      <c r="D54" s="213">
        <v>1112288</v>
      </c>
      <c r="E54" s="213">
        <v>1283051</v>
      </c>
      <c r="F54" s="213">
        <v>1577518</v>
      </c>
      <c r="G54" s="213">
        <v>1260864</v>
      </c>
      <c r="H54" s="213">
        <v>1522401</v>
      </c>
      <c r="I54" s="213">
        <v>1772521</v>
      </c>
      <c r="J54" s="213">
        <v>1452446</v>
      </c>
      <c r="K54" s="213">
        <v>1802303</v>
      </c>
      <c r="L54" s="213">
        <v>1825522</v>
      </c>
      <c r="M54" s="213">
        <v>1174612</v>
      </c>
      <c r="N54" s="213">
        <v>16224720</v>
      </c>
      <c r="O54" s="243"/>
      <c r="P54" s="295"/>
      <c r="Q54" s="295"/>
    </row>
    <row r="55" spans="1:17" s="210" customFormat="1" ht="42.75" customHeight="1" x14ac:dyDescent="0.15">
      <c r="A55" s="264" t="s">
        <v>49</v>
      </c>
      <c r="B55" s="135">
        <v>0.39897968368156222</v>
      </c>
      <c r="C55" s="135">
        <v>-0.16344442528189485</v>
      </c>
      <c r="D55" s="135">
        <v>4.4632325440892906E-2</v>
      </c>
      <c r="E55" s="135">
        <v>0.2614557020726378</v>
      </c>
      <c r="F55" s="135">
        <v>0.48836526746446007</v>
      </c>
      <c r="G55" s="135">
        <v>0.27524618039693416</v>
      </c>
      <c r="H55" s="135">
        <v>0.20267064984849581</v>
      </c>
      <c r="I55" s="135">
        <v>0.38872600098955101</v>
      </c>
      <c r="J55" s="135">
        <v>0.23365068305465408</v>
      </c>
      <c r="K55" s="135">
        <v>0.23823630099933246</v>
      </c>
      <c r="L55" s="135">
        <v>0.10033732817243513</v>
      </c>
      <c r="M55" s="135">
        <v>8.7362465222558638E-2</v>
      </c>
      <c r="N55" s="135">
        <v>0.22498224930846256</v>
      </c>
      <c r="O55" s="246"/>
      <c r="P55" s="295"/>
      <c r="Q55" s="295"/>
    </row>
    <row r="56" spans="1:17" s="210" customFormat="1" ht="42.75" customHeight="1" x14ac:dyDescent="0.15">
      <c r="A56" s="264" t="s">
        <v>21</v>
      </c>
      <c r="B56" s="241">
        <v>2698747</v>
      </c>
      <c r="C56" s="241"/>
      <c r="D56" s="241"/>
      <c r="E56" s="241">
        <v>5574347</v>
      </c>
      <c r="F56" s="241"/>
      <c r="G56" s="241"/>
      <c r="H56" s="241">
        <v>6084304</v>
      </c>
      <c r="I56" s="241"/>
      <c r="J56" s="241"/>
      <c r="K56" s="241">
        <v>5517596</v>
      </c>
      <c r="L56" s="241"/>
      <c r="M56" s="241"/>
      <c r="N56" s="277"/>
      <c r="O56" s="243"/>
      <c r="P56" s="295"/>
      <c r="Q56" s="295"/>
    </row>
    <row r="57" spans="1:17" s="210" customFormat="1" ht="32.1" hidden="1" customHeight="1" x14ac:dyDescent="0.15">
      <c r="A57" s="273" t="s">
        <v>73</v>
      </c>
      <c r="B57" s="244">
        <v>2553482</v>
      </c>
      <c r="C57" s="244"/>
      <c r="D57" s="244"/>
      <c r="E57" s="244">
        <v>4121433</v>
      </c>
      <c r="F57" s="244"/>
      <c r="G57" s="244"/>
      <c r="H57" s="244">
        <v>4747368</v>
      </c>
      <c r="I57" s="244"/>
      <c r="J57" s="244"/>
      <c r="K57" s="244">
        <v>4802437</v>
      </c>
      <c r="L57" s="244"/>
      <c r="M57" s="244"/>
      <c r="N57" s="242"/>
      <c r="O57" s="243"/>
      <c r="P57" s="295"/>
      <c r="Q57" s="295"/>
    </row>
    <row r="58" spans="1:17" s="210" customFormat="1" ht="42.75" customHeight="1" x14ac:dyDescent="0.15">
      <c r="A58" s="264" t="s">
        <v>49</v>
      </c>
      <c r="B58" s="159">
        <v>5.6888985314954343E-2</v>
      </c>
      <c r="C58" s="159"/>
      <c r="D58" s="159"/>
      <c r="E58" s="159">
        <v>0.35252641496295101</v>
      </c>
      <c r="F58" s="159"/>
      <c r="G58" s="159"/>
      <c r="H58" s="159">
        <v>0.28161625557572112</v>
      </c>
      <c r="I58" s="159"/>
      <c r="J58" s="159"/>
      <c r="K58" s="159">
        <v>0.1489158525140466</v>
      </c>
      <c r="L58" s="159"/>
      <c r="M58" s="159"/>
      <c r="N58" s="245"/>
      <c r="O58" s="246"/>
      <c r="P58" s="295"/>
      <c r="Q58" s="295"/>
    </row>
    <row r="59" spans="1:17" ht="18.75" x14ac:dyDescent="0.2">
      <c r="A59" s="29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98"/>
      <c r="Q59" s="298"/>
    </row>
    <row r="60" spans="1:17" ht="43.5" customHeight="1" x14ac:dyDescent="0.2">
      <c r="A60" s="279"/>
      <c r="B60" s="280"/>
      <c r="C60" s="280"/>
      <c r="D60" s="278" t="s">
        <v>82</v>
      </c>
      <c r="E60" s="280"/>
      <c r="F60" s="280"/>
      <c r="G60" s="280"/>
      <c r="H60" s="280"/>
      <c r="I60" s="280"/>
      <c r="J60" s="280"/>
      <c r="K60" s="299"/>
      <c r="L60" s="278" t="s">
        <v>83</v>
      </c>
      <c r="M60" s="280"/>
      <c r="N60" s="280"/>
      <c r="O60" s="280"/>
      <c r="P60" s="298"/>
      <c r="Q60" s="298"/>
    </row>
    <row r="61" spans="1:17" x14ac:dyDescent="0.15">
      <c r="P61" s="298"/>
      <c r="Q61" s="298"/>
    </row>
    <row r="62" spans="1:17" x14ac:dyDescent="0.15">
      <c r="P62" s="298"/>
      <c r="Q62" s="298"/>
    </row>
    <row r="63" spans="1:17" x14ac:dyDescent="0.15">
      <c r="P63" s="298"/>
      <c r="Q63" s="298"/>
    </row>
    <row r="64" spans="1:17" x14ac:dyDescent="0.15">
      <c r="P64" s="298"/>
      <c r="Q64" s="298"/>
    </row>
    <row r="65" spans="16:17" x14ac:dyDescent="0.15">
      <c r="P65" s="298"/>
      <c r="Q65" s="298"/>
    </row>
    <row r="66" spans="16:17" x14ac:dyDescent="0.15">
      <c r="P66" s="298"/>
      <c r="Q66" s="298"/>
    </row>
    <row r="67" spans="16:17" x14ac:dyDescent="0.15">
      <c r="P67" s="298"/>
      <c r="Q67" s="298"/>
    </row>
    <row r="68" spans="16:17" x14ac:dyDescent="0.15">
      <c r="P68" s="298"/>
      <c r="Q68" s="298"/>
    </row>
    <row r="69" spans="16:17" x14ac:dyDescent="0.15">
      <c r="P69" s="298"/>
      <c r="Q69" s="298"/>
    </row>
    <row r="70" spans="16:17" x14ac:dyDescent="0.15">
      <c r="P70" s="298"/>
      <c r="Q70" s="298"/>
    </row>
    <row r="71" spans="16:17" x14ac:dyDescent="0.15">
      <c r="P71" s="298"/>
      <c r="Q71" s="298"/>
    </row>
    <row r="72" spans="16:17" x14ac:dyDescent="0.15">
      <c r="P72" s="298"/>
      <c r="Q72" s="298"/>
    </row>
    <row r="73" spans="16:17" x14ac:dyDescent="0.15">
      <c r="P73" s="298"/>
      <c r="Q73" s="298"/>
    </row>
    <row r="74" spans="16:17" x14ac:dyDescent="0.15">
      <c r="P74" s="298"/>
      <c r="Q74" s="298"/>
    </row>
    <row r="75" spans="16:17" x14ac:dyDescent="0.15">
      <c r="P75" s="298"/>
      <c r="Q75" s="298"/>
    </row>
    <row r="76" spans="16:17" x14ac:dyDescent="0.15">
      <c r="P76" s="298"/>
      <c r="Q76" s="298"/>
    </row>
    <row r="77" spans="16:17" x14ac:dyDescent="0.15">
      <c r="P77" s="298"/>
      <c r="Q77" s="298"/>
    </row>
    <row r="78" spans="16:17" x14ac:dyDescent="0.15">
      <c r="P78" s="298"/>
      <c r="Q78" s="298"/>
    </row>
    <row r="79" spans="16:17" x14ac:dyDescent="0.15">
      <c r="P79" s="298"/>
      <c r="Q79" s="298"/>
    </row>
    <row r="80" spans="16:17" x14ac:dyDescent="0.15">
      <c r="P80" s="298"/>
      <c r="Q80" s="298"/>
    </row>
    <row r="81" spans="16:17" x14ac:dyDescent="0.15">
      <c r="P81" s="298"/>
      <c r="Q81" s="298"/>
    </row>
    <row r="82" spans="16:17" x14ac:dyDescent="0.15">
      <c r="P82" s="298"/>
      <c r="Q82" s="298"/>
    </row>
    <row r="83" spans="16:17" x14ac:dyDescent="0.15">
      <c r="P83" s="298"/>
      <c r="Q83" s="298"/>
    </row>
    <row r="84" spans="16:17" x14ac:dyDescent="0.15">
      <c r="P84" s="298"/>
      <c r="Q84" s="298"/>
    </row>
    <row r="85" spans="16:17" x14ac:dyDescent="0.15">
      <c r="P85" s="298"/>
      <c r="Q85" s="298"/>
    </row>
    <row r="86" spans="16:17" x14ac:dyDescent="0.15">
      <c r="P86" s="298"/>
      <c r="Q86" s="298"/>
    </row>
    <row r="87" spans="16:17" x14ac:dyDescent="0.15">
      <c r="P87" s="298"/>
      <c r="Q87" s="298"/>
    </row>
    <row r="88" spans="16:17" x14ac:dyDescent="0.15">
      <c r="P88" s="298"/>
      <c r="Q88" s="298"/>
    </row>
    <row r="89" spans="16:17" x14ac:dyDescent="0.15">
      <c r="P89" s="298"/>
      <c r="Q89" s="298"/>
    </row>
    <row r="90" spans="16:17" x14ac:dyDescent="0.15">
      <c r="P90" s="298"/>
      <c r="Q90" s="298"/>
    </row>
    <row r="97" spans="14:14" x14ac:dyDescent="0.15">
      <c r="N97" s="181">
        <f>SUM(B97:M97)</f>
        <v>0</v>
      </c>
    </row>
  </sheetData>
  <mergeCells count="47">
    <mergeCell ref="B58:D58"/>
    <mergeCell ref="E58:G58"/>
    <mergeCell ref="H58:J58"/>
    <mergeCell ref="K58:M58"/>
    <mergeCell ref="B56:D56"/>
    <mergeCell ref="E56:G56"/>
    <mergeCell ref="H56:J56"/>
    <mergeCell ref="K56:M56"/>
    <mergeCell ref="B57:D57"/>
    <mergeCell ref="E57:G57"/>
    <mergeCell ref="H57:J57"/>
    <mergeCell ref="K57:M57"/>
    <mergeCell ref="A35:A37"/>
    <mergeCell ref="B35:G35"/>
    <mergeCell ref="H35:M35"/>
    <mergeCell ref="N35:N37"/>
    <mergeCell ref="O35:O37"/>
    <mergeCell ref="P35:P37"/>
    <mergeCell ref="B36:D36"/>
    <mergeCell ref="E36:G36"/>
    <mergeCell ref="H36:J36"/>
    <mergeCell ref="K36:M36"/>
    <mergeCell ref="B27:D27"/>
    <mergeCell ref="E27:G27"/>
    <mergeCell ref="H27:J27"/>
    <mergeCell ref="K27:M27"/>
    <mergeCell ref="L33:N34"/>
    <mergeCell ref="O33:P34"/>
    <mergeCell ref="K5:M5"/>
    <mergeCell ref="B25:D25"/>
    <mergeCell ref="E25:G25"/>
    <mergeCell ref="H25:J25"/>
    <mergeCell ref="K25:M25"/>
    <mergeCell ref="B26:D26"/>
    <mergeCell ref="E26:G26"/>
    <mergeCell ref="H26:J26"/>
    <mergeCell ref="K26:M26"/>
    <mergeCell ref="O2:P3"/>
    <mergeCell ref="A4:A6"/>
    <mergeCell ref="B4:G4"/>
    <mergeCell ref="H4:M4"/>
    <mergeCell ref="N4:N6"/>
    <mergeCell ref="O4:O6"/>
    <mergeCell ref="P4:P6"/>
    <mergeCell ref="B5:D5"/>
    <mergeCell ref="E5:G5"/>
    <mergeCell ref="H5:J5"/>
  </mergeCells>
  <phoneticPr fontId="2"/>
  <printOptions horizontalCentered="1"/>
  <pageMargins left="0.39370078740157483" right="0.39370078740157483" top="0.59055118110236227" bottom="0.55118110236220474" header="0.51181102362204722" footer="0.15748031496062992"/>
  <pageSetup paperSize="9" scale="55" firstPageNumber="44" fitToWidth="0" orientation="portrait" useFirstPageNumber="1" r:id="rId1"/>
  <headerFooter alignWithMargins="0"/>
  <colBreaks count="1" manualBreakCount="1">
    <brk id="7" max="6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F401-4F24-4639-B619-F1E7ECFFA761}">
  <dimension ref="A1:P100"/>
  <sheetViews>
    <sheetView showGridLines="0" view="pageBreakPreview" topLeftCell="A13" zoomScale="50" zoomScaleNormal="50" zoomScaleSheetLayoutView="50" zoomScalePageLayoutView="55" workbookViewId="0"/>
  </sheetViews>
  <sheetFormatPr defaultColWidth="9" defaultRowHeight="13.5" x14ac:dyDescent="0.15"/>
  <cols>
    <col min="1" max="1" width="31.25" style="181" customWidth="1"/>
    <col min="2" max="7" width="18.25" style="181" customWidth="1"/>
    <col min="8" max="13" width="18.125" style="181" customWidth="1"/>
    <col min="14" max="15" width="19.875" style="181" customWidth="1"/>
    <col min="16" max="16" width="14.375" style="181" customWidth="1"/>
    <col min="17" max="17" width="7.125" style="181" customWidth="1"/>
    <col min="18" max="16384" width="9" style="181"/>
  </cols>
  <sheetData>
    <row r="1" spans="1:16" ht="78" customHeight="1" x14ac:dyDescent="0.3">
      <c r="A1" s="178"/>
      <c r="B1" s="178"/>
      <c r="C1" s="178"/>
      <c r="D1" s="178"/>
      <c r="E1" s="178"/>
      <c r="F1" s="178"/>
      <c r="G1" s="180"/>
      <c r="H1" s="180"/>
      <c r="I1" s="180"/>
      <c r="J1" s="180"/>
      <c r="K1" s="180"/>
      <c r="L1" s="180"/>
      <c r="M1" s="180"/>
      <c r="N1" s="180"/>
      <c r="O1" s="180"/>
    </row>
    <row r="2" spans="1:16" s="195" customFormat="1" ht="43.5" customHeight="1" x14ac:dyDescent="0.25">
      <c r="A2" s="183" t="s">
        <v>84</v>
      </c>
      <c r="G2" s="300"/>
      <c r="L2" s="301"/>
      <c r="M2" s="301"/>
      <c r="N2" s="301"/>
      <c r="O2" s="297" t="s">
        <v>79</v>
      </c>
      <c r="P2" s="297"/>
    </row>
    <row r="3" spans="1:16" s="195" customFormat="1" ht="27" customHeight="1" x14ac:dyDescent="0.2">
      <c r="L3" s="302"/>
      <c r="M3" s="302"/>
      <c r="N3" s="302"/>
      <c r="O3" s="303"/>
      <c r="P3" s="303"/>
    </row>
    <row r="4" spans="1:16" s="195" customFormat="1" ht="24" customHeight="1" x14ac:dyDescent="0.2">
      <c r="A4" s="188" t="s">
        <v>71</v>
      </c>
      <c r="B4" s="189" t="s">
        <v>72</v>
      </c>
      <c r="C4" s="189"/>
      <c r="D4" s="189"/>
      <c r="E4" s="189"/>
      <c r="F4" s="189"/>
      <c r="G4" s="189"/>
      <c r="H4" s="190" t="s">
        <v>72</v>
      </c>
      <c r="I4" s="191"/>
      <c r="J4" s="191"/>
      <c r="K4" s="191"/>
      <c r="L4" s="191"/>
      <c r="M4" s="191"/>
      <c r="N4" s="192" t="s">
        <v>65</v>
      </c>
      <c r="O4" s="193" t="s">
        <v>54</v>
      </c>
      <c r="P4" s="255" t="s">
        <v>50</v>
      </c>
    </row>
    <row r="5" spans="1:16" s="195" customFormat="1" ht="24" customHeight="1" x14ac:dyDescent="0.2">
      <c r="A5" s="196"/>
      <c r="B5" s="189" t="s">
        <v>22</v>
      </c>
      <c r="C5" s="189"/>
      <c r="D5" s="189"/>
      <c r="E5" s="189" t="s">
        <v>23</v>
      </c>
      <c r="F5" s="189"/>
      <c r="G5" s="189"/>
      <c r="H5" s="189" t="s">
        <v>24</v>
      </c>
      <c r="I5" s="189"/>
      <c r="J5" s="189"/>
      <c r="K5" s="197" t="s">
        <v>42</v>
      </c>
      <c r="L5" s="189"/>
      <c r="M5" s="189"/>
      <c r="N5" s="198"/>
      <c r="O5" s="199"/>
      <c r="P5" s="256"/>
    </row>
    <row r="6" spans="1:16" s="195" customFormat="1" ht="24" customHeight="1" thickBot="1" x14ac:dyDescent="0.25">
      <c r="A6" s="200"/>
      <c r="B6" s="201" t="s">
        <v>6</v>
      </c>
      <c r="C6" s="201" t="s">
        <v>7</v>
      </c>
      <c r="D6" s="201" t="s">
        <v>8</v>
      </c>
      <c r="E6" s="201" t="s">
        <v>0</v>
      </c>
      <c r="F6" s="201" t="s">
        <v>1</v>
      </c>
      <c r="G6" s="201" t="s">
        <v>2</v>
      </c>
      <c r="H6" s="201" t="s">
        <v>3</v>
      </c>
      <c r="I6" s="201" t="s">
        <v>4</v>
      </c>
      <c r="J6" s="201" t="s">
        <v>5</v>
      </c>
      <c r="K6" s="201" t="s">
        <v>43</v>
      </c>
      <c r="L6" s="201" t="s">
        <v>44</v>
      </c>
      <c r="M6" s="201" t="s">
        <v>45</v>
      </c>
      <c r="N6" s="202"/>
      <c r="O6" s="203"/>
      <c r="P6" s="258"/>
    </row>
    <row r="7" spans="1:16" s="210" customFormat="1" ht="42.75" customHeight="1" thickTop="1" x14ac:dyDescent="0.15">
      <c r="A7" s="264" t="s">
        <v>37</v>
      </c>
      <c r="B7" s="220">
        <v>3557</v>
      </c>
      <c r="C7" s="220">
        <v>3195</v>
      </c>
      <c r="D7" s="220">
        <v>7618</v>
      </c>
      <c r="E7" s="220">
        <v>16145</v>
      </c>
      <c r="F7" s="220">
        <v>23304</v>
      </c>
      <c r="G7" s="220">
        <v>17603</v>
      </c>
      <c r="H7" s="220">
        <v>22224</v>
      </c>
      <c r="I7" s="220">
        <v>20664</v>
      </c>
      <c r="J7" s="220">
        <v>16680</v>
      </c>
      <c r="K7" s="220">
        <v>16511</v>
      </c>
      <c r="L7" s="220">
        <v>10806</v>
      </c>
      <c r="M7" s="220">
        <v>3398</v>
      </c>
      <c r="N7" s="221">
        <v>161705</v>
      </c>
      <c r="O7" s="285">
        <v>142914</v>
      </c>
      <c r="P7" s="261">
        <v>0.13148466910169754</v>
      </c>
    </row>
    <row r="8" spans="1:16" s="210" customFormat="1" ht="42.75" hidden="1" customHeight="1" x14ac:dyDescent="0.15">
      <c r="A8" s="273"/>
      <c r="B8" s="212">
        <v>2919</v>
      </c>
      <c r="C8" s="212">
        <v>4201</v>
      </c>
      <c r="D8" s="212">
        <v>5097</v>
      </c>
      <c r="E8" s="212">
        <v>9592</v>
      </c>
      <c r="F8" s="212">
        <v>12366</v>
      </c>
      <c r="G8" s="212">
        <v>16007</v>
      </c>
      <c r="H8" s="212">
        <v>15536</v>
      </c>
      <c r="I8" s="212">
        <v>20472</v>
      </c>
      <c r="J8" s="212">
        <v>21409</v>
      </c>
      <c r="K8" s="212">
        <v>16799</v>
      </c>
      <c r="L8" s="212">
        <v>13184</v>
      </c>
      <c r="M8" s="212">
        <v>5332</v>
      </c>
      <c r="N8" s="213">
        <v>142914</v>
      </c>
      <c r="O8" s="286"/>
      <c r="P8" s="287"/>
    </row>
    <row r="9" spans="1:16" s="210" customFormat="1" ht="42.75" hidden="1" customHeight="1" x14ac:dyDescent="0.15">
      <c r="A9" s="273"/>
      <c r="B9" s="216">
        <v>0.21856800274066468</v>
      </c>
      <c r="C9" s="216">
        <v>-0.23946679362056655</v>
      </c>
      <c r="D9" s="216">
        <v>0.49460466941338033</v>
      </c>
      <c r="E9" s="216">
        <v>0.68317347789824856</v>
      </c>
      <c r="F9" s="216">
        <v>0.8845220766618147</v>
      </c>
      <c r="G9" s="216">
        <v>9.9706378459424094E-2</v>
      </c>
      <c r="H9" s="216">
        <v>0.43048403707518013</v>
      </c>
      <c r="I9" s="216">
        <v>9.3786635404455865E-3</v>
      </c>
      <c r="J9" s="216">
        <v>-0.22088841141575977</v>
      </c>
      <c r="K9" s="216">
        <v>-1.7143877611762615E-2</v>
      </c>
      <c r="L9" s="216">
        <v>-0.18037014563106801</v>
      </c>
      <c r="M9" s="216">
        <v>-0.36271567891972989</v>
      </c>
      <c r="N9" s="216">
        <v>0.13148466910169754</v>
      </c>
      <c r="O9" s="289"/>
      <c r="P9" s="287"/>
    </row>
    <row r="10" spans="1:16" s="210" customFormat="1" ht="42.75" customHeight="1" x14ac:dyDescent="0.15">
      <c r="A10" s="264" t="s">
        <v>15</v>
      </c>
      <c r="B10" s="220">
        <v>524</v>
      </c>
      <c r="C10" s="220">
        <v>733</v>
      </c>
      <c r="D10" s="220">
        <v>2654</v>
      </c>
      <c r="E10" s="220">
        <v>1615</v>
      </c>
      <c r="F10" s="220">
        <v>3340</v>
      </c>
      <c r="G10" s="220">
        <v>15898</v>
      </c>
      <c r="H10" s="220">
        <v>2226</v>
      </c>
      <c r="I10" s="220">
        <v>1405</v>
      </c>
      <c r="J10" s="220">
        <v>19451</v>
      </c>
      <c r="K10" s="220">
        <v>2663</v>
      </c>
      <c r="L10" s="220">
        <v>1015</v>
      </c>
      <c r="M10" s="220">
        <v>471</v>
      </c>
      <c r="N10" s="221">
        <v>51995</v>
      </c>
      <c r="O10" s="285">
        <v>33198</v>
      </c>
      <c r="P10" s="261">
        <v>0.56620880775950355</v>
      </c>
    </row>
    <row r="11" spans="1:16" s="210" customFormat="1" ht="42.75" hidden="1" customHeight="1" x14ac:dyDescent="0.15">
      <c r="A11" s="273"/>
      <c r="B11" s="212">
        <v>807</v>
      </c>
      <c r="C11" s="212">
        <v>1765</v>
      </c>
      <c r="D11" s="212">
        <v>2856</v>
      </c>
      <c r="E11" s="212">
        <v>3390</v>
      </c>
      <c r="F11" s="212">
        <v>3361</v>
      </c>
      <c r="G11" s="212">
        <v>2703</v>
      </c>
      <c r="H11" s="212">
        <v>4034</v>
      </c>
      <c r="I11" s="212">
        <v>2553</v>
      </c>
      <c r="J11" s="212">
        <v>3307</v>
      </c>
      <c r="K11" s="212">
        <v>5088</v>
      </c>
      <c r="L11" s="212">
        <v>2440</v>
      </c>
      <c r="M11" s="212">
        <v>894</v>
      </c>
      <c r="N11" s="213">
        <v>33198</v>
      </c>
      <c r="O11" s="286"/>
      <c r="P11" s="287"/>
    </row>
    <row r="12" spans="1:16" s="210" customFormat="1" ht="42.75" hidden="1" customHeight="1" x14ac:dyDescent="0.15">
      <c r="A12" s="273"/>
      <c r="B12" s="216">
        <v>-0.35068153655514245</v>
      </c>
      <c r="C12" s="216">
        <v>-0.58470254957507084</v>
      </c>
      <c r="D12" s="216">
        <v>-7.0728291316526581E-2</v>
      </c>
      <c r="E12" s="216">
        <v>-0.52359882005899705</v>
      </c>
      <c r="F12" s="216">
        <v>-6.248140434394478E-3</v>
      </c>
      <c r="G12" s="216">
        <v>4.8816130225675174</v>
      </c>
      <c r="H12" s="216">
        <v>-0.44819038175508186</v>
      </c>
      <c r="I12" s="216">
        <v>-0.44966705836271048</v>
      </c>
      <c r="J12" s="216">
        <v>4.8817659510130031</v>
      </c>
      <c r="K12" s="216">
        <v>-0.47661163522012584</v>
      </c>
      <c r="L12" s="216">
        <v>-0.58401639344262302</v>
      </c>
      <c r="M12" s="216">
        <v>-0.47315436241610742</v>
      </c>
      <c r="N12" s="216">
        <v>0.56620880775950355</v>
      </c>
      <c r="O12" s="289"/>
      <c r="P12" s="287"/>
    </row>
    <row r="13" spans="1:16" s="210" customFormat="1" ht="42.75" customHeight="1" x14ac:dyDescent="0.15">
      <c r="A13" s="264" t="s">
        <v>16</v>
      </c>
      <c r="B13" s="220">
        <v>0</v>
      </c>
      <c r="C13" s="220">
        <v>0</v>
      </c>
      <c r="D13" s="220">
        <v>0</v>
      </c>
      <c r="E13" s="220">
        <v>0</v>
      </c>
      <c r="F13" s="220">
        <v>0</v>
      </c>
      <c r="G13" s="220">
        <v>0</v>
      </c>
      <c r="H13" s="220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1">
        <v>0</v>
      </c>
      <c r="O13" s="285">
        <v>0</v>
      </c>
      <c r="P13" s="261" t="s">
        <v>29</v>
      </c>
    </row>
    <row r="14" spans="1:16" s="210" customFormat="1" ht="42.75" hidden="1" customHeight="1" x14ac:dyDescent="0.15">
      <c r="A14" s="273"/>
      <c r="B14" s="212">
        <v>0</v>
      </c>
      <c r="C14" s="212">
        <v>0</v>
      </c>
      <c r="D14" s="212">
        <v>0</v>
      </c>
      <c r="E14" s="212">
        <v>0</v>
      </c>
      <c r="F14" s="212">
        <v>0</v>
      </c>
      <c r="G14" s="212">
        <v>0</v>
      </c>
      <c r="H14" s="212">
        <v>0</v>
      </c>
      <c r="I14" s="212">
        <v>0</v>
      </c>
      <c r="J14" s="212">
        <v>0</v>
      </c>
      <c r="K14" s="212">
        <v>0</v>
      </c>
      <c r="L14" s="212">
        <v>0</v>
      </c>
      <c r="M14" s="212">
        <v>0</v>
      </c>
      <c r="N14" s="213">
        <v>0</v>
      </c>
      <c r="O14" s="286"/>
      <c r="P14" s="287"/>
    </row>
    <row r="15" spans="1:16" s="210" customFormat="1" ht="42.75" hidden="1" customHeight="1" x14ac:dyDescent="0.15">
      <c r="A15" s="273"/>
      <c r="B15" s="216" t="e">
        <v>#DIV/0!</v>
      </c>
      <c r="C15" s="216" t="e">
        <v>#DIV/0!</v>
      </c>
      <c r="D15" s="216" t="e">
        <v>#DIV/0!</v>
      </c>
      <c r="E15" s="216" t="e">
        <v>#DIV/0!</v>
      </c>
      <c r="F15" s="216" t="e">
        <v>#DIV/0!</v>
      </c>
      <c r="G15" s="216" t="e">
        <v>#DIV/0!</v>
      </c>
      <c r="H15" s="216" t="e">
        <v>#DIV/0!</v>
      </c>
      <c r="I15" s="216" t="e">
        <v>#DIV/0!</v>
      </c>
      <c r="J15" s="216" t="e">
        <v>#DIV/0!</v>
      </c>
      <c r="K15" s="216" t="e">
        <v>#DIV/0!</v>
      </c>
      <c r="L15" s="216" t="e">
        <v>#DIV/0!</v>
      </c>
      <c r="M15" s="216" t="e">
        <v>#DIV/0!</v>
      </c>
      <c r="N15" s="216" t="e">
        <v>#DIV/0!</v>
      </c>
      <c r="O15" s="289"/>
      <c r="P15" s="287"/>
    </row>
    <row r="16" spans="1:16" s="210" customFormat="1" ht="42.75" customHeight="1" x14ac:dyDescent="0.15">
      <c r="A16" s="264" t="s">
        <v>17</v>
      </c>
      <c r="B16" s="220">
        <v>3300</v>
      </c>
      <c r="C16" s="220">
        <v>3510</v>
      </c>
      <c r="D16" s="220">
        <v>4550</v>
      </c>
      <c r="E16" s="220">
        <v>5960</v>
      </c>
      <c r="F16" s="220">
        <v>9210</v>
      </c>
      <c r="G16" s="220">
        <v>5420</v>
      </c>
      <c r="H16" s="220">
        <v>6220</v>
      </c>
      <c r="I16" s="220">
        <v>6270</v>
      </c>
      <c r="J16" s="220">
        <v>5270</v>
      </c>
      <c r="K16" s="220">
        <v>6090</v>
      </c>
      <c r="L16" s="220">
        <v>5400</v>
      </c>
      <c r="M16" s="220">
        <v>3510</v>
      </c>
      <c r="N16" s="221">
        <v>64710</v>
      </c>
      <c r="O16" s="285">
        <v>69170</v>
      </c>
      <c r="P16" s="261">
        <v>-6.447882029781693E-2</v>
      </c>
    </row>
    <row r="17" spans="1:16" s="210" customFormat="1" ht="42.75" hidden="1" customHeight="1" x14ac:dyDescent="0.15">
      <c r="A17" s="273"/>
      <c r="B17" s="212">
        <v>2920</v>
      </c>
      <c r="C17" s="212">
        <v>3950</v>
      </c>
      <c r="D17" s="212">
        <v>5510</v>
      </c>
      <c r="E17" s="212">
        <v>4580</v>
      </c>
      <c r="F17" s="212">
        <v>6540</v>
      </c>
      <c r="G17" s="212">
        <v>6080</v>
      </c>
      <c r="H17" s="212">
        <v>7090</v>
      </c>
      <c r="I17" s="212">
        <v>7000</v>
      </c>
      <c r="J17" s="212">
        <v>5660</v>
      </c>
      <c r="K17" s="212">
        <v>7290</v>
      </c>
      <c r="L17" s="212">
        <v>6370</v>
      </c>
      <c r="M17" s="212">
        <v>6180</v>
      </c>
      <c r="N17" s="213">
        <v>69170</v>
      </c>
      <c r="O17" s="286"/>
      <c r="P17" s="304"/>
    </row>
    <row r="18" spans="1:16" s="210" customFormat="1" ht="42.75" hidden="1" customHeight="1" x14ac:dyDescent="0.15">
      <c r="A18" s="273"/>
      <c r="B18" s="216">
        <v>0.13013698630136994</v>
      </c>
      <c r="C18" s="216">
        <v>-0.11139240506329118</v>
      </c>
      <c r="D18" s="216">
        <v>-0.17422867513611617</v>
      </c>
      <c r="E18" s="216">
        <v>0.3013100436681222</v>
      </c>
      <c r="F18" s="216">
        <v>0.40825688073394506</v>
      </c>
      <c r="G18" s="216">
        <v>-0.10855263157894735</v>
      </c>
      <c r="H18" s="216">
        <v>-0.12270803949224263</v>
      </c>
      <c r="I18" s="216">
        <v>-0.10428571428571431</v>
      </c>
      <c r="J18" s="216">
        <v>-6.8904593639576017E-2</v>
      </c>
      <c r="K18" s="216">
        <v>-0.16460905349794241</v>
      </c>
      <c r="L18" s="216">
        <v>-0.15227629513343799</v>
      </c>
      <c r="M18" s="216">
        <v>-0.43203883495145634</v>
      </c>
      <c r="N18" s="216">
        <v>-6.447882029781693E-2</v>
      </c>
      <c r="O18" s="289"/>
      <c r="P18" s="304"/>
    </row>
    <row r="19" spans="1:16" s="210" customFormat="1" ht="42.75" customHeight="1" thickBot="1" x14ac:dyDescent="0.2">
      <c r="A19" s="201" t="s">
        <v>18</v>
      </c>
      <c r="B19" s="224">
        <v>0</v>
      </c>
      <c r="C19" s="224">
        <v>0</v>
      </c>
      <c r="D19" s="224">
        <v>0</v>
      </c>
      <c r="E19" s="224">
        <v>0</v>
      </c>
      <c r="F19" s="224">
        <v>0</v>
      </c>
      <c r="G19" s="224">
        <v>0</v>
      </c>
      <c r="H19" s="224">
        <v>0</v>
      </c>
      <c r="I19" s="224">
        <v>0</v>
      </c>
      <c r="J19" s="224">
        <v>0</v>
      </c>
      <c r="K19" s="224">
        <v>0</v>
      </c>
      <c r="L19" s="224">
        <v>0</v>
      </c>
      <c r="M19" s="224">
        <v>0</v>
      </c>
      <c r="N19" s="225">
        <v>0</v>
      </c>
      <c r="O19" s="291">
        <v>0</v>
      </c>
      <c r="P19" s="274" t="s">
        <v>29</v>
      </c>
    </row>
    <row r="20" spans="1:16" s="210" customFormat="1" ht="42.75" hidden="1" customHeight="1" thickTop="1" x14ac:dyDescent="0.15">
      <c r="A20" s="305"/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30">
        <v>0</v>
      </c>
      <c r="O20" s="293"/>
      <c r="P20" s="306"/>
    </row>
    <row r="21" spans="1:16" s="210" customFormat="1" ht="42.75" hidden="1" customHeight="1" x14ac:dyDescent="0.15">
      <c r="A21" s="273"/>
      <c r="B21" s="216" t="e">
        <v>#DIV/0!</v>
      </c>
      <c r="C21" s="216" t="e">
        <v>#DIV/0!</v>
      </c>
      <c r="D21" s="216" t="e">
        <v>#DIV/0!</v>
      </c>
      <c r="E21" s="216" t="e">
        <v>#DIV/0!</v>
      </c>
      <c r="F21" s="216" t="e">
        <v>#DIV/0!</v>
      </c>
      <c r="G21" s="216" t="e">
        <v>#DIV/0!</v>
      </c>
      <c r="H21" s="216" t="e">
        <v>#DIV/0!</v>
      </c>
      <c r="I21" s="216" t="e">
        <v>#DIV/0!</v>
      </c>
      <c r="J21" s="216" t="e">
        <v>#DIV/0!</v>
      </c>
      <c r="K21" s="216" t="e">
        <v>#DIV/0!</v>
      </c>
      <c r="L21" s="216" t="e">
        <v>#DIV/0!</v>
      </c>
      <c r="M21" s="216" t="e">
        <v>#DIV/0!</v>
      </c>
      <c r="N21" s="216" t="e">
        <v>#DIV/0!</v>
      </c>
      <c r="O21" s="289"/>
      <c r="P21" s="304"/>
    </row>
    <row r="22" spans="1:16" s="210" customFormat="1" ht="42.75" customHeight="1" thickTop="1" x14ac:dyDescent="0.15">
      <c r="A22" s="264" t="s">
        <v>20</v>
      </c>
      <c r="B22" s="221">
        <v>7381</v>
      </c>
      <c r="C22" s="221">
        <v>7438</v>
      </c>
      <c r="D22" s="221">
        <v>14822</v>
      </c>
      <c r="E22" s="221">
        <v>23720</v>
      </c>
      <c r="F22" s="221">
        <v>35854</v>
      </c>
      <c r="G22" s="221">
        <v>38921</v>
      </c>
      <c r="H22" s="221">
        <v>30670</v>
      </c>
      <c r="I22" s="221">
        <v>28339</v>
      </c>
      <c r="J22" s="221">
        <v>41401</v>
      </c>
      <c r="K22" s="221">
        <v>25264</v>
      </c>
      <c r="L22" s="221">
        <v>17221</v>
      </c>
      <c r="M22" s="221">
        <v>7379</v>
      </c>
      <c r="N22" s="221">
        <v>278410</v>
      </c>
      <c r="O22" s="285">
        <v>245282</v>
      </c>
      <c r="P22" s="261">
        <v>0.13506086871437772</v>
      </c>
    </row>
    <row r="23" spans="1:16" s="210" customFormat="1" ht="42.75" hidden="1" customHeight="1" x14ac:dyDescent="0.15">
      <c r="A23" s="273"/>
      <c r="B23" s="213">
        <v>6646</v>
      </c>
      <c r="C23" s="213">
        <v>9916</v>
      </c>
      <c r="D23" s="213">
        <v>13463</v>
      </c>
      <c r="E23" s="213">
        <v>17562</v>
      </c>
      <c r="F23" s="213">
        <v>22267</v>
      </c>
      <c r="G23" s="213">
        <v>24790</v>
      </c>
      <c r="H23" s="213">
        <v>26660</v>
      </c>
      <c r="I23" s="213">
        <v>30025</v>
      </c>
      <c r="J23" s="213">
        <v>30376</v>
      </c>
      <c r="K23" s="213">
        <v>29177</v>
      </c>
      <c r="L23" s="213">
        <v>21994</v>
      </c>
      <c r="M23" s="213">
        <v>12406</v>
      </c>
      <c r="N23" s="213">
        <v>245282</v>
      </c>
      <c r="O23" s="243"/>
      <c r="P23" s="295"/>
    </row>
    <row r="24" spans="1:16" s="210" customFormat="1" ht="42.75" customHeight="1" x14ac:dyDescent="0.15">
      <c r="A24" s="264" t="s">
        <v>49</v>
      </c>
      <c r="B24" s="135">
        <v>0.11059283779717122</v>
      </c>
      <c r="C24" s="135">
        <v>-0.24989915288422748</v>
      </c>
      <c r="D24" s="135">
        <v>0.10094332615316048</v>
      </c>
      <c r="E24" s="135">
        <v>0.3506434346885321</v>
      </c>
      <c r="F24" s="135">
        <v>0.61018547626532538</v>
      </c>
      <c r="G24" s="135">
        <v>0.57002823719241635</v>
      </c>
      <c r="H24" s="135">
        <v>0.15041260315078775</v>
      </c>
      <c r="I24" s="135">
        <v>-5.6153205661948369E-2</v>
      </c>
      <c r="J24" s="135">
        <v>0.36295101395838825</v>
      </c>
      <c r="K24" s="135">
        <v>-0.13411248586215174</v>
      </c>
      <c r="L24" s="135">
        <v>-0.21701373101755028</v>
      </c>
      <c r="M24" s="135">
        <v>-0.40520715782685801</v>
      </c>
      <c r="N24" s="135">
        <v>0.13506086871437772</v>
      </c>
      <c r="O24" s="246"/>
      <c r="P24" s="295"/>
    </row>
    <row r="25" spans="1:16" s="210" customFormat="1" ht="42.75" customHeight="1" x14ac:dyDescent="0.15">
      <c r="A25" s="264" t="s">
        <v>21</v>
      </c>
      <c r="B25" s="241">
        <v>29641</v>
      </c>
      <c r="C25" s="241"/>
      <c r="D25" s="241"/>
      <c r="E25" s="241">
        <v>98495</v>
      </c>
      <c r="F25" s="241"/>
      <c r="G25" s="241"/>
      <c r="H25" s="241">
        <v>100410</v>
      </c>
      <c r="I25" s="241"/>
      <c r="J25" s="241"/>
      <c r="K25" s="241">
        <v>49864</v>
      </c>
      <c r="L25" s="241"/>
      <c r="M25" s="241"/>
      <c r="N25" s="277"/>
      <c r="O25" s="243"/>
      <c r="P25" s="295"/>
    </row>
    <row r="26" spans="1:16" s="210" customFormat="1" ht="42.75" hidden="1" customHeight="1" x14ac:dyDescent="0.15">
      <c r="A26" s="273" t="s">
        <v>73</v>
      </c>
      <c r="B26" s="244">
        <v>30025</v>
      </c>
      <c r="C26" s="244"/>
      <c r="D26" s="244"/>
      <c r="E26" s="244">
        <v>64619</v>
      </c>
      <c r="F26" s="244"/>
      <c r="G26" s="244"/>
      <c r="H26" s="244">
        <v>87061</v>
      </c>
      <c r="I26" s="244"/>
      <c r="J26" s="244"/>
      <c r="K26" s="244">
        <v>63577</v>
      </c>
      <c r="L26" s="244"/>
      <c r="M26" s="244"/>
      <c r="N26" s="242"/>
      <c r="O26" s="243"/>
      <c r="P26" s="295"/>
    </row>
    <row r="27" spans="1:16" s="210" customFormat="1" ht="42.75" customHeight="1" x14ac:dyDescent="0.15">
      <c r="A27" s="264" t="s">
        <v>49</v>
      </c>
      <c r="B27" s="159">
        <v>-1.2789342214820976E-2</v>
      </c>
      <c r="C27" s="159"/>
      <c r="D27" s="159"/>
      <c r="E27" s="159">
        <v>0.52424209597796323</v>
      </c>
      <c r="F27" s="159"/>
      <c r="G27" s="159"/>
      <c r="H27" s="159">
        <v>0.15332927487623627</v>
      </c>
      <c r="I27" s="159"/>
      <c r="J27" s="159"/>
      <c r="K27" s="159">
        <v>-0.21569120908504646</v>
      </c>
      <c r="L27" s="159"/>
      <c r="M27" s="159"/>
      <c r="N27" s="245"/>
      <c r="O27" s="246"/>
      <c r="P27" s="295"/>
    </row>
    <row r="28" spans="1:16" s="195" customFormat="1" ht="43.5" customHeight="1" x14ac:dyDescent="0.2">
      <c r="A28" s="296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210"/>
    </row>
    <row r="29" spans="1:16" s="195" customFormat="1" ht="43.5" customHeight="1" x14ac:dyDescent="0.2">
      <c r="A29" s="250"/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210"/>
    </row>
    <row r="30" spans="1:16" s="195" customFormat="1" ht="43.5" customHeight="1" x14ac:dyDescent="0.2">
      <c r="A30" s="250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210"/>
    </row>
    <row r="31" spans="1:16" s="195" customFormat="1" ht="21" customHeight="1" x14ac:dyDescent="0.2">
      <c r="A31" s="250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210"/>
    </row>
    <row r="32" spans="1:16" s="195" customFormat="1" ht="24" customHeight="1" x14ac:dyDescent="0.2">
      <c r="A32" s="250"/>
      <c r="B32" s="308"/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9"/>
      <c r="O32" s="309"/>
      <c r="P32" s="210"/>
    </row>
    <row r="33" spans="1:16" s="195" customFormat="1" ht="43.5" customHeight="1" x14ac:dyDescent="0.25">
      <c r="A33" s="183" t="s">
        <v>85</v>
      </c>
      <c r="O33" s="297" t="s">
        <v>79</v>
      </c>
      <c r="P33" s="297"/>
    </row>
    <row r="34" spans="1:16" s="195" customFormat="1" ht="27" customHeight="1" x14ac:dyDescent="0.2">
      <c r="O34" s="303"/>
      <c r="P34" s="303"/>
    </row>
    <row r="35" spans="1:16" s="195" customFormat="1" ht="24" customHeight="1" x14ac:dyDescent="0.2">
      <c r="A35" s="188" t="s">
        <v>71</v>
      </c>
      <c r="B35" s="189" t="s">
        <v>72</v>
      </c>
      <c r="C35" s="189"/>
      <c r="D35" s="189"/>
      <c r="E35" s="189"/>
      <c r="F35" s="189"/>
      <c r="G35" s="189"/>
      <c r="H35" s="190" t="s">
        <v>72</v>
      </c>
      <c r="I35" s="191"/>
      <c r="J35" s="191"/>
      <c r="K35" s="191"/>
      <c r="L35" s="191"/>
      <c r="M35" s="191"/>
      <c r="N35" s="192" t="s">
        <v>66</v>
      </c>
      <c r="O35" s="193" t="s">
        <v>67</v>
      </c>
      <c r="P35" s="255" t="s">
        <v>50</v>
      </c>
    </row>
    <row r="36" spans="1:16" s="195" customFormat="1" ht="24" customHeight="1" x14ac:dyDescent="0.2">
      <c r="A36" s="196"/>
      <c r="B36" s="189" t="s">
        <v>22</v>
      </c>
      <c r="C36" s="189"/>
      <c r="D36" s="189"/>
      <c r="E36" s="189" t="s">
        <v>23</v>
      </c>
      <c r="F36" s="189"/>
      <c r="G36" s="189"/>
      <c r="H36" s="189" t="s">
        <v>24</v>
      </c>
      <c r="I36" s="189"/>
      <c r="J36" s="189"/>
      <c r="K36" s="197" t="s">
        <v>42</v>
      </c>
      <c r="L36" s="189"/>
      <c r="M36" s="189"/>
      <c r="N36" s="198"/>
      <c r="O36" s="199"/>
      <c r="P36" s="256"/>
    </row>
    <row r="37" spans="1:16" s="195" customFormat="1" ht="24" customHeight="1" thickBot="1" x14ac:dyDescent="0.25">
      <c r="A37" s="200"/>
      <c r="B37" s="201" t="s">
        <v>6</v>
      </c>
      <c r="C37" s="201" t="s">
        <v>7</v>
      </c>
      <c r="D37" s="201" t="s">
        <v>8</v>
      </c>
      <c r="E37" s="201" t="s">
        <v>0</v>
      </c>
      <c r="F37" s="201" t="s">
        <v>1</v>
      </c>
      <c r="G37" s="201" t="s">
        <v>2</v>
      </c>
      <c r="H37" s="201" t="s">
        <v>3</v>
      </c>
      <c r="I37" s="201" t="s">
        <v>4</v>
      </c>
      <c r="J37" s="201" t="s">
        <v>5</v>
      </c>
      <c r="K37" s="201" t="s">
        <v>43</v>
      </c>
      <c r="L37" s="201" t="s">
        <v>44</v>
      </c>
      <c r="M37" s="201" t="s">
        <v>45</v>
      </c>
      <c r="N37" s="202"/>
      <c r="O37" s="203"/>
      <c r="P37" s="258"/>
    </row>
    <row r="38" spans="1:16" s="210" customFormat="1" ht="42.75" customHeight="1" thickTop="1" x14ac:dyDescent="0.15">
      <c r="A38" s="264" t="s">
        <v>37</v>
      </c>
      <c r="B38" s="220">
        <v>267890</v>
      </c>
      <c r="C38" s="220">
        <v>15958</v>
      </c>
      <c r="D38" s="220">
        <v>184374</v>
      </c>
      <c r="E38" s="220">
        <v>351188</v>
      </c>
      <c r="F38" s="220">
        <v>432027</v>
      </c>
      <c r="G38" s="220">
        <v>262932</v>
      </c>
      <c r="H38" s="220">
        <v>332918</v>
      </c>
      <c r="I38" s="220">
        <v>370208</v>
      </c>
      <c r="J38" s="220">
        <v>455119</v>
      </c>
      <c r="K38" s="220">
        <v>504667</v>
      </c>
      <c r="L38" s="220">
        <v>169661</v>
      </c>
      <c r="M38" s="220">
        <v>79497</v>
      </c>
      <c r="N38" s="221">
        <v>3426439</v>
      </c>
      <c r="O38" s="285">
        <v>2090873</v>
      </c>
      <c r="P38" s="261">
        <v>0.63875998207447315</v>
      </c>
    </row>
    <row r="39" spans="1:16" s="210" customFormat="1" ht="42.75" hidden="1" customHeight="1" x14ac:dyDescent="0.15">
      <c r="A39" s="273"/>
      <c r="B39" s="212">
        <v>204325</v>
      </c>
      <c r="C39" s="212">
        <v>47834</v>
      </c>
      <c r="D39" s="212">
        <v>149147</v>
      </c>
      <c r="E39" s="212">
        <v>216616</v>
      </c>
      <c r="F39" s="212">
        <v>253133</v>
      </c>
      <c r="G39" s="212">
        <v>209328</v>
      </c>
      <c r="H39" s="212">
        <v>189383</v>
      </c>
      <c r="I39" s="212">
        <v>186298</v>
      </c>
      <c r="J39" s="212">
        <v>180562</v>
      </c>
      <c r="K39" s="212">
        <v>195953</v>
      </c>
      <c r="L39" s="212">
        <v>153304</v>
      </c>
      <c r="M39" s="212">
        <v>104990</v>
      </c>
      <c r="N39" s="213">
        <v>2090873</v>
      </c>
      <c r="O39" s="286"/>
      <c r="P39" s="287"/>
    </row>
    <row r="40" spans="1:16" s="210" customFormat="1" ht="42.75" hidden="1" customHeight="1" x14ac:dyDescent="0.15">
      <c r="A40" s="273"/>
      <c r="B40" s="216">
        <v>0.31109751621191739</v>
      </c>
      <c r="C40" s="216">
        <v>-0.66638792490696996</v>
      </c>
      <c r="D40" s="216">
        <v>0.23618979932549777</v>
      </c>
      <c r="E40" s="216">
        <v>0.62124681463973119</v>
      </c>
      <c r="F40" s="216">
        <v>0.70671939257228411</v>
      </c>
      <c r="G40" s="216">
        <v>0.25607658793854626</v>
      </c>
      <c r="H40" s="216">
        <v>0.75790857679939583</v>
      </c>
      <c r="I40" s="216">
        <v>0.98718182696539958</v>
      </c>
      <c r="J40" s="216">
        <v>1.5205691119947717</v>
      </c>
      <c r="K40" s="216">
        <v>1.5754492148627479</v>
      </c>
      <c r="L40" s="216">
        <v>0.10669649846057516</v>
      </c>
      <c r="M40" s="216">
        <v>-0.24281360129536145</v>
      </c>
      <c r="N40" s="216">
        <v>0.63875998207447315</v>
      </c>
      <c r="O40" s="289"/>
      <c r="P40" s="287"/>
    </row>
    <row r="41" spans="1:16" s="210" customFormat="1" ht="42.75" customHeight="1" x14ac:dyDescent="0.15">
      <c r="A41" s="264" t="s">
        <v>15</v>
      </c>
      <c r="B41" s="220">
        <v>15220</v>
      </c>
      <c r="C41" s="220">
        <v>3410</v>
      </c>
      <c r="D41" s="220">
        <v>7994</v>
      </c>
      <c r="E41" s="220">
        <v>18580</v>
      </c>
      <c r="F41" s="220">
        <v>132328</v>
      </c>
      <c r="G41" s="220">
        <v>346538</v>
      </c>
      <c r="H41" s="220">
        <v>207680</v>
      </c>
      <c r="I41" s="220">
        <v>603780</v>
      </c>
      <c r="J41" s="220">
        <v>179890</v>
      </c>
      <c r="K41" s="220">
        <v>188419</v>
      </c>
      <c r="L41" s="220">
        <v>48226</v>
      </c>
      <c r="M41" s="220">
        <v>15240</v>
      </c>
      <c r="N41" s="221">
        <v>1767305</v>
      </c>
      <c r="O41" s="285">
        <v>201433</v>
      </c>
      <c r="P41" s="261">
        <v>7.7736617138204771</v>
      </c>
    </row>
    <row r="42" spans="1:16" s="210" customFormat="1" ht="42.75" hidden="1" customHeight="1" x14ac:dyDescent="0.15">
      <c r="A42" s="273"/>
      <c r="B42" s="212">
        <v>15820</v>
      </c>
      <c r="C42" s="212">
        <v>26320</v>
      </c>
      <c r="D42" s="212">
        <v>11570</v>
      </c>
      <c r="E42" s="212">
        <v>14760</v>
      </c>
      <c r="F42" s="212">
        <v>20180</v>
      </c>
      <c r="G42" s="212">
        <v>15870</v>
      </c>
      <c r="H42" s="212">
        <v>16960</v>
      </c>
      <c r="I42" s="212">
        <v>17500</v>
      </c>
      <c r="J42" s="212">
        <v>6470</v>
      </c>
      <c r="K42" s="212">
        <v>10640</v>
      </c>
      <c r="L42" s="212">
        <v>27653</v>
      </c>
      <c r="M42" s="212">
        <v>17690</v>
      </c>
      <c r="N42" s="213">
        <v>201433</v>
      </c>
      <c r="O42" s="286"/>
      <c r="P42" s="287"/>
    </row>
    <row r="43" spans="1:16" s="210" customFormat="1" ht="42.75" hidden="1" customHeight="1" x14ac:dyDescent="0.15">
      <c r="A43" s="273"/>
      <c r="B43" s="216">
        <v>-3.7926675094816731E-2</v>
      </c>
      <c r="C43" s="216">
        <v>-0.87044072948328266</v>
      </c>
      <c r="D43" s="216">
        <v>-0.30907519446845289</v>
      </c>
      <c r="E43" s="216">
        <v>0.25880758807588067</v>
      </c>
      <c r="F43" s="216">
        <v>5.5573835480673939</v>
      </c>
      <c r="G43" s="216">
        <v>20.836042848141147</v>
      </c>
      <c r="H43" s="216">
        <v>11.245283018867925</v>
      </c>
      <c r="I43" s="216">
        <v>33.501714285714286</v>
      </c>
      <c r="J43" s="216">
        <v>26.803709428129832</v>
      </c>
      <c r="K43" s="216">
        <v>16.708552631578947</v>
      </c>
      <c r="L43" s="216">
        <v>0.74396991284851555</v>
      </c>
      <c r="M43" s="216">
        <v>-0.13849632560768799</v>
      </c>
      <c r="N43" s="216">
        <v>7.7736617138204771</v>
      </c>
      <c r="O43" s="289"/>
      <c r="P43" s="287"/>
    </row>
    <row r="44" spans="1:16" s="210" customFormat="1" ht="42.75" customHeight="1" x14ac:dyDescent="0.15">
      <c r="A44" s="264" t="s">
        <v>16</v>
      </c>
      <c r="B44" s="220">
        <v>7180</v>
      </c>
      <c r="C44" s="220">
        <v>6110</v>
      </c>
      <c r="D44" s="220">
        <v>0</v>
      </c>
      <c r="E44" s="220">
        <v>33951</v>
      </c>
      <c r="F44" s="220">
        <v>102309</v>
      </c>
      <c r="G44" s="220">
        <v>46993</v>
      </c>
      <c r="H44" s="220">
        <v>185677</v>
      </c>
      <c r="I44" s="220">
        <v>185828</v>
      </c>
      <c r="J44" s="220">
        <v>140196</v>
      </c>
      <c r="K44" s="220">
        <v>142315</v>
      </c>
      <c r="L44" s="220">
        <v>65621</v>
      </c>
      <c r="M44" s="220">
        <v>7720</v>
      </c>
      <c r="N44" s="221">
        <v>923900</v>
      </c>
      <c r="O44" s="285">
        <v>128583</v>
      </c>
      <c r="P44" s="261">
        <v>6.1852422170893506</v>
      </c>
    </row>
    <row r="45" spans="1:16" s="210" customFormat="1" ht="42.75" hidden="1" customHeight="1" x14ac:dyDescent="0.15">
      <c r="A45" s="273"/>
      <c r="B45" s="212">
        <v>4761</v>
      </c>
      <c r="C45" s="212">
        <v>10960</v>
      </c>
      <c r="D45" s="212">
        <v>1367</v>
      </c>
      <c r="E45" s="212">
        <v>18800</v>
      </c>
      <c r="F45" s="212">
        <v>14365</v>
      </c>
      <c r="G45" s="212">
        <v>0</v>
      </c>
      <c r="H45" s="212">
        <v>0</v>
      </c>
      <c r="I45" s="212">
        <v>35450</v>
      </c>
      <c r="J45" s="212">
        <v>0</v>
      </c>
      <c r="K45" s="212">
        <v>16650</v>
      </c>
      <c r="L45" s="212">
        <v>17320</v>
      </c>
      <c r="M45" s="212">
        <v>8910</v>
      </c>
      <c r="N45" s="213">
        <v>128583</v>
      </c>
      <c r="O45" s="286"/>
      <c r="P45" s="287"/>
    </row>
    <row r="46" spans="1:16" s="210" customFormat="1" ht="42.75" hidden="1" customHeight="1" x14ac:dyDescent="0.15">
      <c r="A46" s="273"/>
      <c r="B46" s="216">
        <v>0.50808653644192403</v>
      </c>
      <c r="C46" s="216">
        <v>-0.44251824817518248</v>
      </c>
      <c r="D46" s="216">
        <v>-1</v>
      </c>
      <c r="E46" s="216">
        <v>0.80590425531914889</v>
      </c>
      <c r="F46" s="216">
        <v>6.1221023320570831</v>
      </c>
      <c r="G46" s="216" t="e">
        <v>#DIV/0!</v>
      </c>
      <c r="H46" s="216" t="e">
        <v>#DIV/0!</v>
      </c>
      <c r="I46" s="216">
        <v>4.2419746121297601</v>
      </c>
      <c r="J46" s="216" t="e">
        <v>#DIV/0!</v>
      </c>
      <c r="K46" s="216">
        <v>7.547447447447448</v>
      </c>
      <c r="L46" s="216">
        <v>2.7887413394919167</v>
      </c>
      <c r="M46" s="216">
        <v>-0.13355780022446684</v>
      </c>
      <c r="N46" s="216">
        <v>6.1852422170893506</v>
      </c>
      <c r="O46" s="289"/>
      <c r="P46" s="287"/>
    </row>
    <row r="47" spans="1:16" s="210" customFormat="1" ht="42.75" customHeight="1" x14ac:dyDescent="0.15">
      <c r="A47" s="264" t="s">
        <v>17</v>
      </c>
      <c r="B47" s="220">
        <v>5521</v>
      </c>
      <c r="C47" s="220">
        <v>5094</v>
      </c>
      <c r="D47" s="220">
        <v>13338</v>
      </c>
      <c r="E47" s="220">
        <v>437029</v>
      </c>
      <c r="F47" s="220">
        <v>34932</v>
      </c>
      <c r="G47" s="220">
        <v>80517</v>
      </c>
      <c r="H47" s="220">
        <v>177678</v>
      </c>
      <c r="I47" s="220">
        <v>156497</v>
      </c>
      <c r="J47" s="220">
        <v>34835</v>
      </c>
      <c r="K47" s="220">
        <v>111612</v>
      </c>
      <c r="L47" s="220">
        <v>55168</v>
      </c>
      <c r="M47" s="220">
        <v>19238</v>
      </c>
      <c r="N47" s="221">
        <v>1131459</v>
      </c>
      <c r="O47" s="285">
        <v>520521</v>
      </c>
      <c r="P47" s="261">
        <v>1.173704807298841</v>
      </c>
    </row>
    <row r="48" spans="1:16" s="210" customFormat="1" ht="42.75" hidden="1" customHeight="1" x14ac:dyDescent="0.15">
      <c r="A48" s="273"/>
      <c r="B48" s="212">
        <v>3752</v>
      </c>
      <c r="C48" s="212">
        <v>5722</v>
      </c>
      <c r="D48" s="212">
        <v>12827</v>
      </c>
      <c r="E48" s="212">
        <v>231620</v>
      </c>
      <c r="F48" s="212">
        <v>17250</v>
      </c>
      <c r="G48" s="212">
        <v>47083</v>
      </c>
      <c r="H48" s="212">
        <v>19599</v>
      </c>
      <c r="I48" s="212">
        <v>76036</v>
      </c>
      <c r="J48" s="212">
        <v>29904</v>
      </c>
      <c r="K48" s="212">
        <v>33734</v>
      </c>
      <c r="L48" s="212">
        <v>31207</v>
      </c>
      <c r="M48" s="212">
        <v>11787</v>
      </c>
      <c r="N48" s="213">
        <v>520521</v>
      </c>
      <c r="O48" s="286"/>
      <c r="P48" s="287"/>
    </row>
    <row r="49" spans="1:16" s="210" customFormat="1" ht="42.75" hidden="1" customHeight="1" x14ac:dyDescent="0.15">
      <c r="A49" s="273"/>
      <c r="B49" s="216">
        <v>0.47148187633262251</v>
      </c>
      <c r="C49" s="216">
        <v>-0.10975183502271935</v>
      </c>
      <c r="D49" s="216">
        <v>3.9837842051921646E-2</v>
      </c>
      <c r="E49" s="216">
        <v>0.88683619721958373</v>
      </c>
      <c r="F49" s="216">
        <v>1.0250434782608697</v>
      </c>
      <c r="G49" s="216">
        <v>0.71010768217828102</v>
      </c>
      <c r="H49" s="216">
        <v>8.0656666156436554</v>
      </c>
      <c r="I49" s="216">
        <v>1.058196117628492</v>
      </c>
      <c r="J49" s="216">
        <v>0.16489432851792407</v>
      </c>
      <c r="K49" s="216">
        <v>2.3085907393134524</v>
      </c>
      <c r="L49" s="216">
        <v>0.76780850450219496</v>
      </c>
      <c r="M49" s="216">
        <v>0.63213710019513014</v>
      </c>
      <c r="N49" s="216">
        <v>1.173704807298841</v>
      </c>
      <c r="O49" s="289"/>
      <c r="P49" s="287"/>
    </row>
    <row r="50" spans="1:16" s="210" customFormat="1" ht="42.75" customHeight="1" thickBot="1" x14ac:dyDescent="0.2">
      <c r="A50" s="201" t="s">
        <v>18</v>
      </c>
      <c r="B50" s="224">
        <v>0</v>
      </c>
      <c r="C50" s="224">
        <v>0</v>
      </c>
      <c r="D50" s="224">
        <v>0</v>
      </c>
      <c r="E50" s="224">
        <v>3000</v>
      </c>
      <c r="F50" s="224">
        <v>0</v>
      </c>
      <c r="G50" s="224">
        <v>0</v>
      </c>
      <c r="H50" s="224">
        <v>17000</v>
      </c>
      <c r="I50" s="224">
        <v>39500</v>
      </c>
      <c r="J50" s="224">
        <v>0</v>
      </c>
      <c r="K50" s="224">
        <v>8000</v>
      </c>
      <c r="L50" s="224">
        <v>9000</v>
      </c>
      <c r="M50" s="224">
        <v>0</v>
      </c>
      <c r="N50" s="225">
        <v>76500</v>
      </c>
      <c r="O50" s="291">
        <v>0</v>
      </c>
      <c r="P50" s="274" t="e">
        <v>#DIV/0!</v>
      </c>
    </row>
    <row r="51" spans="1:16" s="210" customFormat="1" ht="42.75" hidden="1" customHeight="1" thickTop="1" x14ac:dyDescent="0.15">
      <c r="A51" s="305"/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30">
        <v>0</v>
      </c>
      <c r="O51" s="293"/>
      <c r="P51" s="294"/>
    </row>
    <row r="52" spans="1:16" s="210" customFormat="1" ht="42.75" hidden="1" customHeight="1" x14ac:dyDescent="0.15">
      <c r="A52" s="273"/>
      <c r="B52" s="216" t="e">
        <v>#DIV/0!</v>
      </c>
      <c r="C52" s="216" t="e">
        <v>#DIV/0!</v>
      </c>
      <c r="D52" s="216" t="e">
        <v>#DIV/0!</v>
      </c>
      <c r="E52" s="216" t="e">
        <v>#DIV/0!</v>
      </c>
      <c r="F52" s="216" t="e">
        <v>#DIV/0!</v>
      </c>
      <c r="G52" s="216" t="e">
        <v>#DIV/0!</v>
      </c>
      <c r="H52" s="216" t="e">
        <v>#DIV/0!</v>
      </c>
      <c r="I52" s="216" t="e">
        <v>#DIV/0!</v>
      </c>
      <c r="J52" s="216" t="e">
        <v>#DIV/0!</v>
      </c>
      <c r="K52" s="216" t="e">
        <v>#DIV/0!</v>
      </c>
      <c r="L52" s="216" t="e">
        <v>#DIV/0!</v>
      </c>
      <c r="M52" s="216" t="e">
        <v>#DIV/0!</v>
      </c>
      <c r="N52" s="216" t="e">
        <v>#DIV/0!</v>
      </c>
      <c r="O52" s="289"/>
      <c r="P52" s="287"/>
    </row>
    <row r="53" spans="1:16" s="210" customFormat="1" ht="42.75" customHeight="1" thickTop="1" x14ac:dyDescent="0.15">
      <c r="A53" s="264" t="s">
        <v>20</v>
      </c>
      <c r="B53" s="221">
        <v>295811</v>
      </c>
      <c r="C53" s="221">
        <v>30572</v>
      </c>
      <c r="D53" s="221">
        <v>205706</v>
      </c>
      <c r="E53" s="221">
        <v>843748</v>
      </c>
      <c r="F53" s="221">
        <v>701596</v>
      </c>
      <c r="G53" s="221">
        <v>736980</v>
      </c>
      <c r="H53" s="221">
        <v>920953</v>
      </c>
      <c r="I53" s="221">
        <v>1355813</v>
      </c>
      <c r="J53" s="221">
        <v>810040</v>
      </c>
      <c r="K53" s="221">
        <v>955013</v>
      </c>
      <c r="L53" s="221">
        <v>347676</v>
      </c>
      <c r="M53" s="221">
        <v>121695</v>
      </c>
      <c r="N53" s="221">
        <v>7325603</v>
      </c>
      <c r="O53" s="285">
        <v>2941410</v>
      </c>
      <c r="P53" s="261">
        <v>1.4905072737224665</v>
      </c>
    </row>
    <row r="54" spans="1:16" s="210" customFormat="1" ht="42.75" hidden="1" customHeight="1" x14ac:dyDescent="0.15">
      <c r="A54" s="273"/>
      <c r="B54" s="213">
        <v>228658</v>
      </c>
      <c r="C54" s="213">
        <v>90836</v>
      </c>
      <c r="D54" s="213">
        <v>174911</v>
      </c>
      <c r="E54" s="213">
        <v>481796</v>
      </c>
      <c r="F54" s="213">
        <v>304928</v>
      </c>
      <c r="G54" s="213">
        <v>272281</v>
      </c>
      <c r="H54" s="213">
        <v>225942</v>
      </c>
      <c r="I54" s="213">
        <v>315284</v>
      </c>
      <c r="J54" s="213">
        <v>216936</v>
      </c>
      <c r="K54" s="213">
        <v>256977</v>
      </c>
      <c r="L54" s="213">
        <v>229484</v>
      </c>
      <c r="M54" s="213">
        <v>143377</v>
      </c>
      <c r="N54" s="213">
        <v>2941410</v>
      </c>
      <c r="O54" s="243"/>
      <c r="P54" s="295"/>
    </row>
    <row r="55" spans="1:16" s="210" customFormat="1" ht="42.75" customHeight="1" x14ac:dyDescent="0.15">
      <c r="A55" s="264" t="s">
        <v>49</v>
      </c>
      <c r="B55" s="135">
        <v>0.29368314250977434</v>
      </c>
      <c r="C55" s="135">
        <v>-0.66343740367255277</v>
      </c>
      <c r="D55" s="135">
        <v>0.176060968149516</v>
      </c>
      <c r="E55" s="135">
        <v>0.75125571818778081</v>
      </c>
      <c r="F55" s="135">
        <v>1.3008579074404452</v>
      </c>
      <c r="G55" s="135">
        <v>1.7066890455081332</v>
      </c>
      <c r="H55" s="135">
        <v>3.0760593426631617</v>
      </c>
      <c r="I55" s="135">
        <v>3.3002911660598064</v>
      </c>
      <c r="J55" s="135">
        <v>2.7340044990227534</v>
      </c>
      <c r="K55" s="135">
        <v>2.716336481474996</v>
      </c>
      <c r="L55" s="135">
        <v>0.5150337278415924</v>
      </c>
      <c r="M55" s="135">
        <v>-0.15122369696673799</v>
      </c>
      <c r="N55" s="135">
        <v>1.4905072737224665</v>
      </c>
      <c r="O55" s="246"/>
      <c r="P55" s="295"/>
    </row>
    <row r="56" spans="1:16" s="210" customFormat="1" ht="42.75" customHeight="1" x14ac:dyDescent="0.15">
      <c r="A56" s="264" t="s">
        <v>21</v>
      </c>
      <c r="B56" s="241">
        <v>532089</v>
      </c>
      <c r="C56" s="241"/>
      <c r="D56" s="241"/>
      <c r="E56" s="241">
        <v>2282324</v>
      </c>
      <c r="F56" s="241"/>
      <c r="G56" s="241"/>
      <c r="H56" s="241">
        <v>3086806</v>
      </c>
      <c r="I56" s="241"/>
      <c r="J56" s="241"/>
      <c r="K56" s="241">
        <v>1424384</v>
      </c>
      <c r="L56" s="241"/>
      <c r="M56" s="241"/>
      <c r="N56" s="277"/>
      <c r="O56" s="243"/>
      <c r="P56" s="295"/>
    </row>
    <row r="57" spans="1:16" s="210" customFormat="1" ht="42.75" hidden="1" customHeight="1" x14ac:dyDescent="0.15">
      <c r="A57" s="273" t="s">
        <v>73</v>
      </c>
      <c r="B57" s="244">
        <v>494405</v>
      </c>
      <c r="C57" s="244"/>
      <c r="D57" s="244"/>
      <c r="E57" s="244">
        <v>1059005</v>
      </c>
      <c r="F57" s="244"/>
      <c r="G57" s="244"/>
      <c r="H57" s="244">
        <v>758162</v>
      </c>
      <c r="I57" s="244"/>
      <c r="J57" s="244"/>
      <c r="K57" s="244">
        <v>629838</v>
      </c>
      <c r="L57" s="244"/>
      <c r="M57" s="244"/>
      <c r="N57" s="242"/>
      <c r="O57" s="243"/>
      <c r="P57" s="295"/>
    </row>
    <row r="58" spans="1:16" s="210" customFormat="1" ht="42.75" customHeight="1" x14ac:dyDescent="0.15">
      <c r="A58" s="264" t="s">
        <v>49</v>
      </c>
      <c r="B58" s="159">
        <v>7.6220912005339647E-2</v>
      </c>
      <c r="C58" s="159"/>
      <c r="D58" s="159"/>
      <c r="E58" s="159">
        <v>1.1551588519412088</v>
      </c>
      <c r="F58" s="159"/>
      <c r="G58" s="159"/>
      <c r="H58" s="159">
        <v>3.0714332820690036</v>
      </c>
      <c r="I58" s="159"/>
      <c r="J58" s="159"/>
      <c r="K58" s="159">
        <v>1.2615085148879555</v>
      </c>
      <c r="L58" s="159"/>
      <c r="M58" s="159"/>
      <c r="N58" s="245"/>
      <c r="O58" s="246"/>
      <c r="P58" s="295"/>
    </row>
    <row r="59" spans="1:16" ht="18.75" x14ac:dyDescent="0.2">
      <c r="A59" s="29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98"/>
    </row>
    <row r="60" spans="1:16" ht="43.5" customHeight="1" x14ac:dyDescent="0.2">
      <c r="A60" s="279"/>
      <c r="B60" s="310"/>
      <c r="C60" s="310"/>
      <c r="D60" s="311" t="s">
        <v>86</v>
      </c>
      <c r="E60" s="310"/>
      <c r="F60" s="310"/>
      <c r="G60" s="310"/>
      <c r="H60" s="310"/>
      <c r="I60" s="310"/>
      <c r="J60" s="310"/>
      <c r="K60" s="311"/>
      <c r="L60" s="311" t="s">
        <v>87</v>
      </c>
      <c r="M60" s="310"/>
      <c r="N60" s="312"/>
      <c r="O60" s="312"/>
      <c r="P60" s="298"/>
    </row>
    <row r="61" spans="1:16" x14ac:dyDescent="0.15">
      <c r="P61" s="298"/>
    </row>
    <row r="62" spans="1:16" x14ac:dyDescent="0.15">
      <c r="P62" s="298"/>
    </row>
    <row r="70" spans="16:16" x14ac:dyDescent="0.15">
      <c r="P70" s="298"/>
    </row>
    <row r="71" spans="16:16" x14ac:dyDescent="0.15">
      <c r="P71" s="298"/>
    </row>
    <row r="72" spans="16:16" x14ac:dyDescent="0.15">
      <c r="P72" s="298"/>
    </row>
    <row r="73" spans="16:16" x14ac:dyDescent="0.15">
      <c r="P73" s="298"/>
    </row>
    <row r="74" spans="16:16" x14ac:dyDescent="0.15">
      <c r="P74" s="298"/>
    </row>
    <row r="75" spans="16:16" x14ac:dyDescent="0.15">
      <c r="P75" s="298"/>
    </row>
    <row r="76" spans="16:16" x14ac:dyDescent="0.15">
      <c r="P76" s="298"/>
    </row>
    <row r="77" spans="16:16" x14ac:dyDescent="0.15">
      <c r="P77" s="298"/>
    </row>
    <row r="78" spans="16:16" x14ac:dyDescent="0.15">
      <c r="P78" s="298"/>
    </row>
    <row r="79" spans="16:16" x14ac:dyDescent="0.15">
      <c r="P79" s="298"/>
    </row>
    <row r="80" spans="16:16" x14ac:dyDescent="0.15">
      <c r="P80" s="298"/>
    </row>
    <row r="81" spans="14:16" x14ac:dyDescent="0.15">
      <c r="P81" s="298"/>
    </row>
    <row r="82" spans="14:16" x14ac:dyDescent="0.15">
      <c r="P82" s="298"/>
    </row>
    <row r="83" spans="14:16" x14ac:dyDescent="0.15">
      <c r="P83" s="298"/>
    </row>
    <row r="84" spans="14:16" x14ac:dyDescent="0.15">
      <c r="P84" s="298"/>
    </row>
    <row r="85" spans="14:16" x14ac:dyDescent="0.15">
      <c r="P85" s="298"/>
    </row>
    <row r="86" spans="14:16" x14ac:dyDescent="0.15">
      <c r="P86" s="298"/>
    </row>
    <row r="87" spans="14:16" x14ac:dyDescent="0.15">
      <c r="P87" s="298"/>
    </row>
    <row r="88" spans="14:16" x14ac:dyDescent="0.15">
      <c r="P88" s="298"/>
    </row>
    <row r="89" spans="14:16" x14ac:dyDescent="0.15">
      <c r="P89" s="298"/>
    </row>
    <row r="90" spans="14:16" x14ac:dyDescent="0.15">
      <c r="P90" s="298"/>
    </row>
    <row r="91" spans="14:16" x14ac:dyDescent="0.15">
      <c r="P91" s="298"/>
    </row>
    <row r="92" spans="14:16" x14ac:dyDescent="0.15">
      <c r="P92" s="298"/>
    </row>
    <row r="93" spans="14:16" x14ac:dyDescent="0.15">
      <c r="P93" s="298"/>
    </row>
    <row r="94" spans="14:16" x14ac:dyDescent="0.15">
      <c r="P94" s="298"/>
    </row>
    <row r="95" spans="14:16" x14ac:dyDescent="0.15">
      <c r="P95" s="298"/>
    </row>
    <row r="96" spans="14:16" x14ac:dyDescent="0.15">
      <c r="N96" s="181">
        <f>SUM(B96:M96)</f>
        <v>0</v>
      </c>
      <c r="P96" s="298"/>
    </row>
    <row r="97" spans="16:16" x14ac:dyDescent="0.15">
      <c r="P97" s="298"/>
    </row>
    <row r="98" spans="16:16" x14ac:dyDescent="0.15">
      <c r="P98" s="298"/>
    </row>
    <row r="99" spans="16:16" x14ac:dyDescent="0.15">
      <c r="P99" s="298"/>
    </row>
    <row r="100" spans="16:16" x14ac:dyDescent="0.15">
      <c r="P100" s="298"/>
    </row>
  </sheetData>
  <mergeCells count="46">
    <mergeCell ref="B57:D57"/>
    <mergeCell ref="E57:G57"/>
    <mergeCell ref="H57:J57"/>
    <mergeCell ref="K57:M57"/>
    <mergeCell ref="B58:D58"/>
    <mergeCell ref="E58:G58"/>
    <mergeCell ref="H58:J58"/>
    <mergeCell ref="K58:M58"/>
    <mergeCell ref="P35:P37"/>
    <mergeCell ref="B36:D36"/>
    <mergeCell ref="E36:G36"/>
    <mergeCell ref="H36:J36"/>
    <mergeCell ref="K36:M36"/>
    <mergeCell ref="B56:D56"/>
    <mergeCell ref="E56:G56"/>
    <mergeCell ref="H56:J56"/>
    <mergeCell ref="K56:M56"/>
    <mergeCell ref="B27:D27"/>
    <mergeCell ref="E27:G27"/>
    <mergeCell ref="H27:J27"/>
    <mergeCell ref="K27:M27"/>
    <mergeCell ref="O33:P34"/>
    <mergeCell ref="A35:A37"/>
    <mergeCell ref="B35:G35"/>
    <mergeCell ref="H35:M35"/>
    <mergeCell ref="N35:N37"/>
    <mergeCell ref="O35:O37"/>
    <mergeCell ref="K5:M5"/>
    <mergeCell ref="B25:D25"/>
    <mergeCell ref="E25:G25"/>
    <mergeCell ref="H25:J25"/>
    <mergeCell ref="K25:M25"/>
    <mergeCell ref="B26:D26"/>
    <mergeCell ref="E26:G26"/>
    <mergeCell ref="H26:J26"/>
    <mergeCell ref="K26:M26"/>
    <mergeCell ref="O2:P3"/>
    <mergeCell ref="A4:A6"/>
    <mergeCell ref="B4:G4"/>
    <mergeCell ref="H4:M4"/>
    <mergeCell ref="N4:N6"/>
    <mergeCell ref="O4:O6"/>
    <mergeCell ref="P4:P6"/>
    <mergeCell ref="B5:D5"/>
    <mergeCell ref="E5:G5"/>
    <mergeCell ref="H5:J5"/>
  </mergeCells>
  <phoneticPr fontId="2"/>
  <conditionalFormatting sqref="B38:M50">
    <cfRule type="expression" dxfId="0" priority="1">
      <formula>MOD($B$38:$M$50,1)&lt;&gt;0</formula>
    </cfRule>
  </conditionalFormatting>
  <dataValidations count="1">
    <dataValidation type="whole" operator="greaterThanOrEqual" allowBlank="1" showInputMessage="1" showErrorMessage="1" sqref="B38:M50" xr:uid="{9B2B99B7-719D-41E1-87E1-798962D6D9F0}">
      <formula1>0</formula1>
    </dataValidation>
  </dataValidations>
  <printOptions horizontalCentered="1"/>
  <pageMargins left="0.39370078740157483" right="0.39370078740157483" top="0.59055118110236227" bottom="0.55118110236220474" header="0.51181102362204722" footer="0.15748031496062992"/>
  <pageSetup paperSize="9" scale="57" firstPageNumber="46" orientation="portrait" useFirstPageNumber="1" r:id="rId1"/>
  <headerFooter alignWithMargins="0"/>
  <colBreaks count="1" manualBreakCount="1">
    <brk id="7" max="6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2F4B-FDCC-46F8-9C7D-57EE861B05AE}">
  <sheetPr>
    <pageSetUpPr fitToPage="1"/>
  </sheetPr>
  <dimension ref="A1:Q42"/>
  <sheetViews>
    <sheetView showGridLines="0" view="pageBreakPreview" zoomScale="58" zoomScaleNormal="50" zoomScaleSheetLayoutView="58" zoomScalePageLayoutView="4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" defaultRowHeight="13.5" x14ac:dyDescent="0.15"/>
  <cols>
    <col min="1" max="1" width="32.625" style="316" customWidth="1"/>
    <col min="2" max="6" width="19.375" style="316" customWidth="1"/>
    <col min="7" max="7" width="19.5" style="316" customWidth="1"/>
    <col min="8" max="13" width="17.625" style="316" customWidth="1"/>
    <col min="14" max="14" width="18.125" style="316" bestFit="1" customWidth="1"/>
    <col min="15" max="15" width="19" style="316" customWidth="1"/>
    <col min="16" max="16" width="13.375" style="314" bestFit="1" customWidth="1"/>
    <col min="17" max="17" width="17.5" style="318" customWidth="1"/>
    <col min="18" max="16384" width="7" style="316"/>
  </cols>
  <sheetData>
    <row r="1" spans="1:17" ht="32.25" x14ac:dyDescent="0.3">
      <c r="A1" s="313" t="s">
        <v>88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Q1" s="315"/>
    </row>
    <row r="2" spans="1:17" ht="30" customHeight="1" thickBot="1" x14ac:dyDescent="0.25">
      <c r="N2" s="317" t="s">
        <v>89</v>
      </c>
      <c r="O2" s="317"/>
    </row>
    <row r="3" spans="1:17" s="326" customFormat="1" ht="20.100000000000001" customHeight="1" x14ac:dyDescent="0.2">
      <c r="A3" s="319" t="s">
        <v>90</v>
      </c>
      <c r="B3" s="320" t="s">
        <v>91</v>
      </c>
      <c r="C3" s="321"/>
      <c r="D3" s="321"/>
      <c r="E3" s="321"/>
      <c r="F3" s="321"/>
      <c r="G3" s="322"/>
      <c r="H3" s="320" t="s">
        <v>91</v>
      </c>
      <c r="I3" s="321"/>
      <c r="J3" s="321"/>
      <c r="K3" s="321"/>
      <c r="L3" s="321"/>
      <c r="M3" s="321"/>
      <c r="N3" s="322" t="s">
        <v>65</v>
      </c>
      <c r="O3" s="323" t="s">
        <v>54</v>
      </c>
      <c r="P3" s="324" t="s">
        <v>50</v>
      </c>
      <c r="Q3" s="325" t="s">
        <v>92</v>
      </c>
    </row>
    <row r="4" spans="1:17" s="326" customFormat="1" ht="43.5" customHeight="1" thickBot="1" x14ac:dyDescent="0.25">
      <c r="A4" s="327"/>
      <c r="B4" s="328" t="s">
        <v>93</v>
      </c>
      <c r="C4" s="329" t="s">
        <v>94</v>
      </c>
      <c r="D4" s="330" t="s">
        <v>95</v>
      </c>
      <c r="E4" s="331" t="s">
        <v>96</v>
      </c>
      <c r="F4" s="332" t="s">
        <v>97</v>
      </c>
      <c r="G4" s="333" t="s">
        <v>98</v>
      </c>
      <c r="H4" s="328" t="s">
        <v>99</v>
      </c>
      <c r="I4" s="332" t="s">
        <v>100</v>
      </c>
      <c r="J4" s="334" t="s">
        <v>101</v>
      </c>
      <c r="K4" s="331" t="s">
        <v>102</v>
      </c>
      <c r="L4" s="329" t="s">
        <v>103</v>
      </c>
      <c r="M4" s="334" t="s">
        <v>104</v>
      </c>
      <c r="N4" s="335"/>
      <c r="O4" s="336"/>
      <c r="P4" s="337"/>
      <c r="Q4" s="338"/>
    </row>
    <row r="5" spans="1:17" s="326" customFormat="1" ht="42" customHeight="1" thickTop="1" x14ac:dyDescent="0.2">
      <c r="A5" s="339" t="s">
        <v>105</v>
      </c>
      <c r="B5" s="340">
        <v>45373</v>
      </c>
      <c r="C5" s="341">
        <v>38810</v>
      </c>
      <c r="D5" s="342">
        <v>110375</v>
      </c>
      <c r="E5" s="343">
        <v>95718</v>
      </c>
      <c r="F5" s="344">
        <v>137072</v>
      </c>
      <c r="G5" s="345">
        <v>101649</v>
      </c>
      <c r="H5" s="340">
        <v>186970</v>
      </c>
      <c r="I5" s="344">
        <v>146702</v>
      </c>
      <c r="J5" s="346">
        <v>126858</v>
      </c>
      <c r="K5" s="343">
        <v>140034</v>
      </c>
      <c r="L5" s="341">
        <v>107149</v>
      </c>
      <c r="M5" s="346">
        <v>86213</v>
      </c>
      <c r="N5" s="347">
        <v>1322923</v>
      </c>
      <c r="O5" s="348">
        <v>1153058</v>
      </c>
      <c r="P5" s="349">
        <v>0.14731696063858024</v>
      </c>
      <c r="Q5" s="350" t="s">
        <v>106</v>
      </c>
    </row>
    <row r="6" spans="1:17" s="326" customFormat="1" ht="42" customHeight="1" x14ac:dyDescent="0.2">
      <c r="A6" s="351" t="s">
        <v>107</v>
      </c>
      <c r="B6" s="352">
        <v>54280</v>
      </c>
      <c r="C6" s="353">
        <v>53880</v>
      </c>
      <c r="D6" s="354">
        <v>30730</v>
      </c>
      <c r="E6" s="355">
        <v>92320</v>
      </c>
      <c r="F6" s="356">
        <v>100680</v>
      </c>
      <c r="G6" s="357">
        <v>49840</v>
      </c>
      <c r="H6" s="352">
        <v>56060</v>
      </c>
      <c r="I6" s="356">
        <v>52410</v>
      </c>
      <c r="J6" s="358">
        <v>55270</v>
      </c>
      <c r="K6" s="355">
        <v>60050</v>
      </c>
      <c r="L6" s="353">
        <v>47860</v>
      </c>
      <c r="M6" s="358">
        <v>20350</v>
      </c>
      <c r="N6" s="359">
        <v>673730</v>
      </c>
      <c r="O6" s="360">
        <v>634820</v>
      </c>
      <c r="P6" s="361">
        <v>6.1292964934942296E-2</v>
      </c>
      <c r="Q6" s="362" t="s">
        <v>108</v>
      </c>
    </row>
    <row r="7" spans="1:17" s="326" customFormat="1" ht="42" customHeight="1" x14ac:dyDescent="0.2">
      <c r="A7" s="351" t="s">
        <v>109</v>
      </c>
      <c r="B7" s="352">
        <v>17199</v>
      </c>
      <c r="C7" s="353">
        <v>14181</v>
      </c>
      <c r="D7" s="354">
        <v>25535</v>
      </c>
      <c r="E7" s="355">
        <v>38938</v>
      </c>
      <c r="F7" s="356">
        <v>55735</v>
      </c>
      <c r="G7" s="357">
        <v>40855</v>
      </c>
      <c r="H7" s="352">
        <v>50611</v>
      </c>
      <c r="I7" s="356">
        <v>40335</v>
      </c>
      <c r="J7" s="358">
        <v>40391</v>
      </c>
      <c r="K7" s="355">
        <v>55359</v>
      </c>
      <c r="L7" s="353">
        <v>56032</v>
      </c>
      <c r="M7" s="358">
        <v>25152</v>
      </c>
      <c r="N7" s="359">
        <v>460323</v>
      </c>
      <c r="O7" s="360">
        <v>462130</v>
      </c>
      <c r="P7" s="361">
        <v>-3.9101551511478982E-3</v>
      </c>
      <c r="Q7" s="362" t="s">
        <v>110</v>
      </c>
    </row>
    <row r="8" spans="1:17" s="326" customFormat="1" ht="42" customHeight="1" x14ac:dyDescent="0.2">
      <c r="A8" s="351" t="s">
        <v>111</v>
      </c>
      <c r="B8" s="352">
        <v>114</v>
      </c>
      <c r="C8" s="353">
        <v>99</v>
      </c>
      <c r="D8" s="354">
        <v>237</v>
      </c>
      <c r="E8" s="355">
        <v>531</v>
      </c>
      <c r="F8" s="356">
        <v>1196</v>
      </c>
      <c r="G8" s="357">
        <v>912</v>
      </c>
      <c r="H8" s="352">
        <v>2038</v>
      </c>
      <c r="I8" s="356">
        <v>2214</v>
      </c>
      <c r="J8" s="358">
        <v>1416</v>
      </c>
      <c r="K8" s="355">
        <v>1486</v>
      </c>
      <c r="L8" s="353">
        <v>414</v>
      </c>
      <c r="M8" s="358">
        <v>108</v>
      </c>
      <c r="N8" s="359">
        <v>10765</v>
      </c>
      <c r="O8" s="360">
        <v>0</v>
      </c>
      <c r="P8" s="361" t="e">
        <v>#DIV/0!</v>
      </c>
      <c r="Q8" s="362" t="s">
        <v>112</v>
      </c>
    </row>
    <row r="9" spans="1:17" s="326" customFormat="1" ht="42" customHeight="1" x14ac:dyDescent="0.2">
      <c r="A9" s="339" t="s">
        <v>113</v>
      </c>
      <c r="B9" s="340">
        <v>922259</v>
      </c>
      <c r="C9" s="341">
        <v>499659</v>
      </c>
      <c r="D9" s="342">
        <v>1001523</v>
      </c>
      <c r="E9" s="343">
        <v>1322472</v>
      </c>
      <c r="F9" s="344">
        <v>1479331</v>
      </c>
      <c r="G9" s="345">
        <v>1055474</v>
      </c>
      <c r="H9" s="340">
        <v>1154806</v>
      </c>
      <c r="I9" s="344">
        <v>1408922</v>
      </c>
      <c r="J9" s="346">
        <v>1320511</v>
      </c>
      <c r="K9" s="343">
        <v>1407888</v>
      </c>
      <c r="L9" s="341">
        <v>1042073</v>
      </c>
      <c r="M9" s="346">
        <v>793726</v>
      </c>
      <c r="N9" s="363">
        <v>13408644</v>
      </c>
      <c r="O9" s="364">
        <v>11685424</v>
      </c>
      <c r="P9" s="361">
        <v>0.14746747743171329</v>
      </c>
      <c r="Q9" s="350" t="s">
        <v>114</v>
      </c>
    </row>
    <row r="10" spans="1:17" s="326" customFormat="1" ht="42" customHeight="1" x14ac:dyDescent="0.2">
      <c r="A10" s="351" t="s">
        <v>115</v>
      </c>
      <c r="B10" s="352">
        <v>71327</v>
      </c>
      <c r="C10" s="353">
        <v>66783</v>
      </c>
      <c r="D10" s="354">
        <v>79922</v>
      </c>
      <c r="E10" s="355">
        <v>137875</v>
      </c>
      <c r="F10" s="356">
        <v>180929</v>
      </c>
      <c r="G10" s="357">
        <v>164012</v>
      </c>
      <c r="H10" s="352">
        <v>166626</v>
      </c>
      <c r="I10" s="356">
        <v>271561</v>
      </c>
      <c r="J10" s="358">
        <v>182542</v>
      </c>
      <c r="K10" s="355">
        <v>148524</v>
      </c>
      <c r="L10" s="353">
        <v>187625</v>
      </c>
      <c r="M10" s="358">
        <v>90925</v>
      </c>
      <c r="N10" s="359">
        <v>1748651</v>
      </c>
      <c r="O10" s="360">
        <v>1207632</v>
      </c>
      <c r="P10" s="361">
        <v>0.44799988738291141</v>
      </c>
      <c r="Q10" s="362" t="s">
        <v>116</v>
      </c>
    </row>
    <row r="11" spans="1:17" s="326" customFormat="1" ht="42" customHeight="1" x14ac:dyDescent="0.2">
      <c r="A11" s="351" t="s">
        <v>117</v>
      </c>
      <c r="B11" s="352">
        <v>29783</v>
      </c>
      <c r="C11" s="353">
        <v>27403</v>
      </c>
      <c r="D11" s="354">
        <v>36986</v>
      </c>
      <c r="E11" s="355">
        <v>41389</v>
      </c>
      <c r="F11" s="356">
        <v>109456</v>
      </c>
      <c r="G11" s="357">
        <v>39419</v>
      </c>
      <c r="H11" s="352">
        <v>126135</v>
      </c>
      <c r="I11" s="356">
        <v>89695</v>
      </c>
      <c r="J11" s="358">
        <v>72419</v>
      </c>
      <c r="K11" s="355">
        <v>135100</v>
      </c>
      <c r="L11" s="353">
        <v>73474</v>
      </c>
      <c r="M11" s="358">
        <v>40456</v>
      </c>
      <c r="N11" s="359">
        <v>821715</v>
      </c>
      <c r="O11" s="360">
        <v>497289</v>
      </c>
      <c r="P11" s="361">
        <v>0.65238925453810559</v>
      </c>
      <c r="Q11" s="362" t="s">
        <v>118</v>
      </c>
    </row>
    <row r="12" spans="1:17" s="326" customFormat="1" ht="42" customHeight="1" x14ac:dyDescent="0.2">
      <c r="A12" s="351" t="s">
        <v>119</v>
      </c>
      <c r="B12" s="352">
        <v>68131</v>
      </c>
      <c r="C12" s="353">
        <v>67306</v>
      </c>
      <c r="D12" s="354">
        <v>73268</v>
      </c>
      <c r="E12" s="355">
        <v>96506</v>
      </c>
      <c r="F12" s="356">
        <v>131686</v>
      </c>
      <c r="G12" s="357">
        <v>106646</v>
      </c>
      <c r="H12" s="352">
        <v>86944</v>
      </c>
      <c r="I12" s="356">
        <v>196021</v>
      </c>
      <c r="J12" s="358">
        <v>160348</v>
      </c>
      <c r="K12" s="355">
        <v>210800</v>
      </c>
      <c r="L12" s="353">
        <v>197291</v>
      </c>
      <c r="M12" s="358">
        <v>105507</v>
      </c>
      <c r="N12" s="359">
        <v>1500454</v>
      </c>
      <c r="O12" s="360">
        <v>1176721</v>
      </c>
      <c r="P12" s="361">
        <v>0.27511449188040316</v>
      </c>
      <c r="Q12" s="362" t="s">
        <v>120</v>
      </c>
    </row>
    <row r="13" spans="1:17" s="326" customFormat="1" ht="42" customHeight="1" x14ac:dyDescent="0.2">
      <c r="A13" s="351" t="s">
        <v>121</v>
      </c>
      <c r="B13" s="352">
        <v>1124</v>
      </c>
      <c r="C13" s="353">
        <v>1075</v>
      </c>
      <c r="D13" s="354">
        <v>6359</v>
      </c>
      <c r="E13" s="355">
        <v>7512</v>
      </c>
      <c r="F13" s="356">
        <v>12701</v>
      </c>
      <c r="G13" s="357">
        <v>15328</v>
      </c>
      <c r="H13" s="352">
        <v>7349</v>
      </c>
      <c r="I13" s="356">
        <v>7371</v>
      </c>
      <c r="J13" s="358">
        <v>73059</v>
      </c>
      <c r="K13" s="355">
        <v>11221</v>
      </c>
      <c r="L13" s="353">
        <v>6969</v>
      </c>
      <c r="M13" s="358">
        <v>1650</v>
      </c>
      <c r="N13" s="359">
        <v>151718</v>
      </c>
      <c r="O13" s="360">
        <v>147135</v>
      </c>
      <c r="P13" s="361">
        <v>3.1148265198627012E-2</v>
      </c>
      <c r="Q13" s="362" t="s">
        <v>122</v>
      </c>
    </row>
    <row r="14" spans="1:17" s="326" customFormat="1" ht="42" customHeight="1" x14ac:dyDescent="0.2">
      <c r="A14" s="351" t="s">
        <v>123</v>
      </c>
      <c r="B14" s="352">
        <v>29152</v>
      </c>
      <c r="C14" s="353">
        <v>25163</v>
      </c>
      <c r="D14" s="354">
        <v>18954</v>
      </c>
      <c r="E14" s="355">
        <v>34289</v>
      </c>
      <c r="F14" s="356">
        <v>54328</v>
      </c>
      <c r="G14" s="357">
        <v>33916</v>
      </c>
      <c r="H14" s="352">
        <v>37693</v>
      </c>
      <c r="I14" s="356">
        <v>40695</v>
      </c>
      <c r="J14" s="358">
        <v>47851</v>
      </c>
      <c r="K14" s="355">
        <v>87979</v>
      </c>
      <c r="L14" s="353">
        <v>76086</v>
      </c>
      <c r="M14" s="358">
        <v>20701</v>
      </c>
      <c r="N14" s="359">
        <v>506807</v>
      </c>
      <c r="O14" s="360">
        <v>427015</v>
      </c>
      <c r="P14" s="361">
        <v>0.18685994637190739</v>
      </c>
      <c r="Q14" s="362" t="s">
        <v>124</v>
      </c>
    </row>
    <row r="15" spans="1:17" s="326" customFormat="1" ht="42" customHeight="1" x14ac:dyDescent="0.2">
      <c r="A15" s="351" t="s">
        <v>125</v>
      </c>
      <c r="B15" s="365">
        <v>314300</v>
      </c>
      <c r="C15" s="366">
        <v>44280</v>
      </c>
      <c r="D15" s="367">
        <v>90973</v>
      </c>
      <c r="E15" s="368">
        <v>143750</v>
      </c>
      <c r="F15" s="369">
        <v>184430</v>
      </c>
      <c r="G15" s="370">
        <v>138960</v>
      </c>
      <c r="H15" s="365">
        <v>182680</v>
      </c>
      <c r="I15" s="369">
        <v>185930</v>
      </c>
      <c r="J15" s="371">
        <v>149790</v>
      </c>
      <c r="K15" s="368">
        <v>205550</v>
      </c>
      <c r="L15" s="366">
        <v>538560</v>
      </c>
      <c r="M15" s="371">
        <v>58450</v>
      </c>
      <c r="N15" s="372">
        <v>2237653</v>
      </c>
      <c r="O15" s="373">
        <v>2019080</v>
      </c>
      <c r="P15" s="361">
        <v>0.1082537591378252</v>
      </c>
      <c r="Q15" s="362" t="s">
        <v>126</v>
      </c>
    </row>
    <row r="16" spans="1:17" s="326" customFormat="1" ht="42" customHeight="1" x14ac:dyDescent="0.2">
      <c r="A16" s="374" t="s">
        <v>127</v>
      </c>
      <c r="B16" s="375">
        <v>25029</v>
      </c>
      <c r="C16" s="376">
        <v>18656</v>
      </c>
      <c r="D16" s="377">
        <v>39210</v>
      </c>
      <c r="E16" s="378">
        <v>138526</v>
      </c>
      <c r="F16" s="379">
        <v>146861</v>
      </c>
      <c r="G16" s="380">
        <v>56690</v>
      </c>
      <c r="H16" s="375">
        <v>47720</v>
      </c>
      <c r="I16" s="379">
        <v>46212</v>
      </c>
      <c r="J16" s="381">
        <v>54504</v>
      </c>
      <c r="K16" s="378">
        <v>62249</v>
      </c>
      <c r="L16" s="376">
        <v>57766</v>
      </c>
      <c r="M16" s="381">
        <v>38497</v>
      </c>
      <c r="N16" s="382">
        <v>731920</v>
      </c>
      <c r="O16" s="383">
        <v>259837</v>
      </c>
      <c r="P16" s="384">
        <v>1.8168428668742327</v>
      </c>
      <c r="Q16" s="385" t="s">
        <v>128</v>
      </c>
    </row>
    <row r="17" spans="1:17" s="326" customFormat="1" ht="42" customHeight="1" x14ac:dyDescent="0.2">
      <c r="A17" s="386" t="s">
        <v>129</v>
      </c>
      <c r="B17" s="387">
        <v>1578071</v>
      </c>
      <c r="C17" s="388">
        <v>857295</v>
      </c>
      <c r="D17" s="389">
        <v>1514072</v>
      </c>
      <c r="E17" s="390">
        <v>2149826</v>
      </c>
      <c r="F17" s="391">
        <v>2594405</v>
      </c>
      <c r="G17" s="392">
        <v>1803701</v>
      </c>
      <c r="H17" s="387">
        <v>2105632</v>
      </c>
      <c r="I17" s="391">
        <v>2488068</v>
      </c>
      <c r="J17" s="393">
        <v>2284959</v>
      </c>
      <c r="K17" s="390">
        <v>2526240</v>
      </c>
      <c r="L17" s="388">
        <v>2391299</v>
      </c>
      <c r="M17" s="393">
        <v>1281735</v>
      </c>
      <c r="N17" s="394">
        <v>23575303</v>
      </c>
      <c r="O17" s="395">
        <v>19670141</v>
      </c>
      <c r="P17" s="396">
        <v>0.19853248637109422</v>
      </c>
      <c r="Q17" s="397" t="s">
        <v>129</v>
      </c>
    </row>
    <row r="18" spans="1:17" s="326" customFormat="1" ht="42" customHeight="1" x14ac:dyDescent="0.2">
      <c r="A18" s="398" t="s">
        <v>130</v>
      </c>
      <c r="B18" s="399">
        <v>234546</v>
      </c>
      <c r="C18" s="400">
        <v>190707</v>
      </c>
      <c r="D18" s="401">
        <v>301793</v>
      </c>
      <c r="E18" s="402">
        <v>404605</v>
      </c>
      <c r="F18" s="403">
        <v>716674</v>
      </c>
      <c r="G18" s="404">
        <v>456677</v>
      </c>
      <c r="H18" s="399">
        <v>431284</v>
      </c>
      <c r="I18" s="403">
        <v>1145742</v>
      </c>
      <c r="J18" s="405">
        <v>467442</v>
      </c>
      <c r="K18" s="402">
        <v>725931</v>
      </c>
      <c r="L18" s="400">
        <v>650868</v>
      </c>
      <c r="M18" s="405">
        <v>387154</v>
      </c>
      <c r="N18" s="347">
        <v>6113423</v>
      </c>
      <c r="O18" s="348">
        <v>4757343</v>
      </c>
      <c r="P18" s="406">
        <v>0.28504986922321973</v>
      </c>
      <c r="Q18" s="407" t="s">
        <v>131</v>
      </c>
    </row>
    <row r="19" spans="1:17" s="326" customFormat="1" ht="42" customHeight="1" x14ac:dyDescent="0.2">
      <c r="A19" s="351" t="s">
        <v>132</v>
      </c>
      <c r="B19" s="352">
        <v>64098</v>
      </c>
      <c r="C19" s="353">
        <v>51630</v>
      </c>
      <c r="D19" s="354">
        <v>97824</v>
      </c>
      <c r="E19" s="355">
        <v>120528</v>
      </c>
      <c r="F19" s="356">
        <v>258928</v>
      </c>
      <c r="G19" s="357">
        <v>197271</v>
      </c>
      <c r="H19" s="352">
        <v>116234</v>
      </c>
      <c r="I19" s="356">
        <v>240768</v>
      </c>
      <c r="J19" s="358">
        <v>161736</v>
      </c>
      <c r="K19" s="355">
        <v>245109</v>
      </c>
      <c r="L19" s="353">
        <v>145560</v>
      </c>
      <c r="M19" s="358">
        <v>67604</v>
      </c>
      <c r="N19" s="359">
        <v>1767290</v>
      </c>
      <c r="O19" s="360">
        <v>1220375</v>
      </c>
      <c r="P19" s="361">
        <v>0.44815323158865095</v>
      </c>
      <c r="Q19" s="362" t="s">
        <v>133</v>
      </c>
    </row>
    <row r="20" spans="1:17" s="326" customFormat="1" ht="42" customHeight="1" x14ac:dyDescent="0.2">
      <c r="A20" s="351" t="s">
        <v>134</v>
      </c>
      <c r="B20" s="352">
        <v>53890</v>
      </c>
      <c r="C20" s="353">
        <v>40650</v>
      </c>
      <c r="D20" s="354">
        <v>56790</v>
      </c>
      <c r="E20" s="355">
        <v>107540</v>
      </c>
      <c r="F20" s="356">
        <v>218770</v>
      </c>
      <c r="G20" s="357">
        <v>406980</v>
      </c>
      <c r="H20" s="352">
        <v>409310</v>
      </c>
      <c r="I20" s="356">
        <v>355160</v>
      </c>
      <c r="J20" s="358">
        <v>128130</v>
      </c>
      <c r="K20" s="355">
        <v>144270</v>
      </c>
      <c r="L20" s="353">
        <v>134070</v>
      </c>
      <c r="M20" s="358">
        <v>89110</v>
      </c>
      <c r="N20" s="359">
        <v>2144670</v>
      </c>
      <c r="O20" s="360">
        <v>1442920</v>
      </c>
      <c r="P20" s="361">
        <v>0.48634019904083381</v>
      </c>
      <c r="Q20" s="362" t="s">
        <v>135</v>
      </c>
    </row>
    <row r="21" spans="1:17" s="326" customFormat="1" ht="42" customHeight="1" x14ac:dyDescent="0.2">
      <c r="A21" s="351" t="s">
        <v>136</v>
      </c>
      <c r="B21" s="352">
        <v>6344</v>
      </c>
      <c r="C21" s="353">
        <v>4728</v>
      </c>
      <c r="D21" s="354">
        <v>8191</v>
      </c>
      <c r="E21" s="355">
        <v>13138</v>
      </c>
      <c r="F21" s="356">
        <v>16277</v>
      </c>
      <c r="G21" s="357">
        <v>13113</v>
      </c>
      <c r="H21" s="352">
        <v>15301</v>
      </c>
      <c r="I21" s="356">
        <v>89680</v>
      </c>
      <c r="J21" s="358">
        <v>156212</v>
      </c>
      <c r="K21" s="355">
        <v>25883</v>
      </c>
      <c r="L21" s="353">
        <v>17250</v>
      </c>
      <c r="M21" s="358">
        <v>9592</v>
      </c>
      <c r="N21" s="359">
        <v>375709</v>
      </c>
      <c r="O21" s="360">
        <v>136089</v>
      </c>
      <c r="P21" s="361">
        <v>1.7607595029723195</v>
      </c>
      <c r="Q21" s="362" t="s">
        <v>137</v>
      </c>
    </row>
    <row r="22" spans="1:17" s="326" customFormat="1" ht="42" customHeight="1" x14ac:dyDescent="0.2">
      <c r="A22" s="351" t="s">
        <v>138</v>
      </c>
      <c r="B22" s="352">
        <v>10318</v>
      </c>
      <c r="C22" s="353">
        <v>8420</v>
      </c>
      <c r="D22" s="354">
        <v>4882</v>
      </c>
      <c r="E22" s="355">
        <v>41654</v>
      </c>
      <c r="F22" s="356">
        <v>60125</v>
      </c>
      <c r="G22" s="357">
        <v>29683</v>
      </c>
      <c r="H22" s="352">
        <v>16359</v>
      </c>
      <c r="I22" s="356">
        <v>19837</v>
      </c>
      <c r="J22" s="358">
        <v>28019</v>
      </c>
      <c r="K22" s="355">
        <v>51370</v>
      </c>
      <c r="L22" s="353">
        <v>33794</v>
      </c>
      <c r="M22" s="358">
        <v>4740</v>
      </c>
      <c r="N22" s="359">
        <v>309201</v>
      </c>
      <c r="O22" s="360">
        <v>263755</v>
      </c>
      <c r="P22" s="361">
        <v>0.17230384258118336</v>
      </c>
      <c r="Q22" s="362" t="s">
        <v>139</v>
      </c>
    </row>
    <row r="23" spans="1:17" s="326" customFormat="1" ht="42" customHeight="1" x14ac:dyDescent="0.2">
      <c r="A23" s="351" t="s">
        <v>140</v>
      </c>
      <c r="B23" s="352">
        <v>77556</v>
      </c>
      <c r="C23" s="353">
        <v>76713</v>
      </c>
      <c r="D23" s="354">
        <v>104461</v>
      </c>
      <c r="E23" s="355">
        <v>152498</v>
      </c>
      <c r="F23" s="356">
        <v>193935</v>
      </c>
      <c r="G23" s="357">
        <v>152536</v>
      </c>
      <c r="H23" s="352">
        <v>149134</v>
      </c>
      <c r="I23" s="356">
        <v>139221</v>
      </c>
      <c r="J23" s="358">
        <v>123737</v>
      </c>
      <c r="K23" s="355">
        <v>151059</v>
      </c>
      <c r="L23" s="353">
        <v>134361</v>
      </c>
      <c r="M23" s="358">
        <v>72639</v>
      </c>
      <c r="N23" s="359">
        <v>1527850</v>
      </c>
      <c r="O23" s="360">
        <v>1378018</v>
      </c>
      <c r="P23" s="361">
        <v>0.1087300746434372</v>
      </c>
      <c r="Q23" s="362" t="s">
        <v>141</v>
      </c>
    </row>
    <row r="24" spans="1:17" s="326" customFormat="1" ht="42" customHeight="1" x14ac:dyDescent="0.2">
      <c r="A24" s="351" t="s">
        <v>142</v>
      </c>
      <c r="B24" s="352">
        <v>32812</v>
      </c>
      <c r="C24" s="353">
        <v>28865</v>
      </c>
      <c r="D24" s="354">
        <v>42730</v>
      </c>
      <c r="E24" s="355">
        <v>69211</v>
      </c>
      <c r="F24" s="356">
        <v>77920</v>
      </c>
      <c r="G24" s="357">
        <v>71720</v>
      </c>
      <c r="H24" s="352">
        <v>68455</v>
      </c>
      <c r="I24" s="356">
        <v>67684</v>
      </c>
      <c r="J24" s="358">
        <v>64748</v>
      </c>
      <c r="K24" s="355">
        <v>76269</v>
      </c>
      <c r="L24" s="353">
        <v>73385</v>
      </c>
      <c r="M24" s="358">
        <v>46446</v>
      </c>
      <c r="N24" s="359">
        <v>720245</v>
      </c>
      <c r="O24" s="360">
        <v>648170</v>
      </c>
      <c r="P24" s="361">
        <v>0.11119767962108695</v>
      </c>
      <c r="Q24" s="362" t="s">
        <v>143</v>
      </c>
    </row>
    <row r="25" spans="1:17" s="326" customFormat="1" ht="42" customHeight="1" x14ac:dyDescent="0.2">
      <c r="A25" s="351" t="s">
        <v>144</v>
      </c>
      <c r="B25" s="352">
        <v>4418</v>
      </c>
      <c r="C25" s="353">
        <v>4905</v>
      </c>
      <c r="D25" s="354">
        <v>12060</v>
      </c>
      <c r="E25" s="355">
        <v>19460</v>
      </c>
      <c r="F25" s="356">
        <v>24530</v>
      </c>
      <c r="G25" s="357">
        <v>17353</v>
      </c>
      <c r="H25" s="352">
        <v>18650</v>
      </c>
      <c r="I25" s="356">
        <v>36872</v>
      </c>
      <c r="J25" s="358">
        <v>19764</v>
      </c>
      <c r="K25" s="355">
        <v>17977</v>
      </c>
      <c r="L25" s="353">
        <v>13456</v>
      </c>
      <c r="M25" s="358">
        <v>3793</v>
      </c>
      <c r="N25" s="359">
        <v>193238</v>
      </c>
      <c r="O25" s="360">
        <v>186677</v>
      </c>
      <c r="P25" s="361">
        <v>3.5146268688697635E-2</v>
      </c>
      <c r="Q25" s="362" t="s">
        <v>145</v>
      </c>
    </row>
    <row r="26" spans="1:17" s="326" customFormat="1" ht="42" customHeight="1" x14ac:dyDescent="0.2">
      <c r="A26" s="351" t="s">
        <v>146</v>
      </c>
      <c r="B26" s="352">
        <v>6533</v>
      </c>
      <c r="C26" s="353">
        <v>5900</v>
      </c>
      <c r="D26" s="354">
        <v>11995</v>
      </c>
      <c r="E26" s="355">
        <v>18936</v>
      </c>
      <c r="F26" s="356">
        <v>26896</v>
      </c>
      <c r="G26" s="357">
        <v>19496</v>
      </c>
      <c r="H26" s="352">
        <v>27142</v>
      </c>
      <c r="I26" s="356">
        <v>19922</v>
      </c>
      <c r="J26" s="358">
        <v>21002</v>
      </c>
      <c r="K26" s="355">
        <v>23921</v>
      </c>
      <c r="L26" s="353">
        <v>15993</v>
      </c>
      <c r="M26" s="358">
        <v>8749</v>
      </c>
      <c r="N26" s="359">
        <v>206485</v>
      </c>
      <c r="O26" s="360">
        <v>193891</v>
      </c>
      <c r="P26" s="384">
        <v>6.4954020557942416E-2</v>
      </c>
      <c r="Q26" s="362" t="s">
        <v>147</v>
      </c>
    </row>
    <row r="27" spans="1:17" s="326" customFormat="1" ht="42" customHeight="1" x14ac:dyDescent="0.2">
      <c r="A27" s="386" t="s">
        <v>148</v>
      </c>
      <c r="B27" s="387">
        <v>490515</v>
      </c>
      <c r="C27" s="388">
        <v>412518</v>
      </c>
      <c r="D27" s="389">
        <v>640726</v>
      </c>
      <c r="E27" s="390">
        <v>947570</v>
      </c>
      <c r="F27" s="391">
        <v>1594055</v>
      </c>
      <c r="G27" s="392">
        <v>1364829</v>
      </c>
      <c r="H27" s="387">
        <v>1251869</v>
      </c>
      <c r="I27" s="391">
        <v>2114886</v>
      </c>
      <c r="J27" s="393">
        <v>1170790</v>
      </c>
      <c r="K27" s="390">
        <v>1461789</v>
      </c>
      <c r="L27" s="388">
        <v>1218737</v>
      </c>
      <c r="M27" s="393">
        <v>689827</v>
      </c>
      <c r="N27" s="408">
        <v>13358111</v>
      </c>
      <c r="O27" s="409">
        <v>10227238</v>
      </c>
      <c r="P27" s="396">
        <v>0.30613084392873224</v>
      </c>
      <c r="Q27" s="397" t="s">
        <v>148</v>
      </c>
    </row>
    <row r="28" spans="1:17" s="326" customFormat="1" ht="42" customHeight="1" x14ac:dyDescent="0.2">
      <c r="A28" s="398" t="s">
        <v>149</v>
      </c>
      <c r="B28" s="399">
        <v>53198</v>
      </c>
      <c r="C28" s="400">
        <v>45476</v>
      </c>
      <c r="D28" s="401">
        <v>59704</v>
      </c>
      <c r="E28" s="402">
        <v>83606</v>
      </c>
      <c r="F28" s="403">
        <v>229981</v>
      </c>
      <c r="G28" s="404">
        <v>155801</v>
      </c>
      <c r="H28" s="399">
        <v>213877</v>
      </c>
      <c r="I28" s="403">
        <v>312373</v>
      </c>
      <c r="J28" s="405">
        <v>247712</v>
      </c>
      <c r="K28" s="402">
        <v>272953</v>
      </c>
      <c r="L28" s="400">
        <v>186550</v>
      </c>
      <c r="M28" s="405">
        <v>57789</v>
      </c>
      <c r="N28" s="347">
        <v>1919020</v>
      </c>
      <c r="O28" s="348">
        <v>1023729</v>
      </c>
      <c r="P28" s="361">
        <v>0.87453906258394554</v>
      </c>
      <c r="Q28" s="407" t="s">
        <v>150</v>
      </c>
    </row>
    <row r="29" spans="1:17" s="326" customFormat="1" ht="42" customHeight="1" x14ac:dyDescent="0.2">
      <c r="A29" s="351" t="s">
        <v>151</v>
      </c>
      <c r="B29" s="352">
        <v>58880</v>
      </c>
      <c r="C29" s="353">
        <v>47730</v>
      </c>
      <c r="D29" s="354">
        <v>50976</v>
      </c>
      <c r="E29" s="355">
        <v>95341</v>
      </c>
      <c r="F29" s="356">
        <v>199376</v>
      </c>
      <c r="G29" s="357">
        <v>104587</v>
      </c>
      <c r="H29" s="352">
        <v>112367</v>
      </c>
      <c r="I29" s="356">
        <v>131996</v>
      </c>
      <c r="J29" s="358">
        <v>156101</v>
      </c>
      <c r="K29" s="355">
        <v>190999</v>
      </c>
      <c r="L29" s="353">
        <v>115631</v>
      </c>
      <c r="M29" s="358">
        <v>58294</v>
      </c>
      <c r="N29" s="359">
        <v>1322278</v>
      </c>
      <c r="O29" s="360">
        <v>951589</v>
      </c>
      <c r="P29" s="361">
        <v>0.38954737812227758</v>
      </c>
      <c r="Q29" s="362" t="s">
        <v>152</v>
      </c>
    </row>
    <row r="30" spans="1:17" s="326" customFormat="1" ht="42" customHeight="1" x14ac:dyDescent="0.2">
      <c r="A30" s="351" t="s">
        <v>153</v>
      </c>
      <c r="B30" s="352">
        <v>494110</v>
      </c>
      <c r="C30" s="353">
        <v>488370</v>
      </c>
      <c r="D30" s="354">
        <v>497420</v>
      </c>
      <c r="E30" s="355">
        <v>188320</v>
      </c>
      <c r="F30" s="356">
        <v>124360</v>
      </c>
      <c r="G30" s="357">
        <v>70220</v>
      </c>
      <c r="H30" s="352">
        <v>144540</v>
      </c>
      <c r="I30" s="356">
        <v>121060</v>
      </c>
      <c r="J30" s="358">
        <v>101970</v>
      </c>
      <c r="K30" s="355">
        <v>135530</v>
      </c>
      <c r="L30" s="353">
        <v>91860</v>
      </c>
      <c r="M30" s="358">
        <v>256490</v>
      </c>
      <c r="N30" s="359">
        <v>2714250</v>
      </c>
      <c r="O30" s="360">
        <v>1878690</v>
      </c>
      <c r="P30" s="361">
        <v>0.44475671877744594</v>
      </c>
      <c r="Q30" s="362" t="s">
        <v>154</v>
      </c>
    </row>
    <row r="31" spans="1:17" s="326" customFormat="1" ht="42" customHeight="1" x14ac:dyDescent="0.2">
      <c r="A31" s="351" t="s">
        <v>155</v>
      </c>
      <c r="B31" s="352">
        <v>364960</v>
      </c>
      <c r="C31" s="353">
        <v>356120</v>
      </c>
      <c r="D31" s="354">
        <v>332030</v>
      </c>
      <c r="E31" s="355">
        <v>110680</v>
      </c>
      <c r="F31" s="356">
        <v>128900</v>
      </c>
      <c r="G31" s="357">
        <v>91980</v>
      </c>
      <c r="H31" s="352">
        <v>138180</v>
      </c>
      <c r="I31" s="356">
        <v>195990</v>
      </c>
      <c r="J31" s="358">
        <v>117260</v>
      </c>
      <c r="K31" s="355">
        <v>207210</v>
      </c>
      <c r="L31" s="353">
        <v>126760</v>
      </c>
      <c r="M31" s="358">
        <v>138720</v>
      </c>
      <c r="N31" s="359">
        <v>2308790</v>
      </c>
      <c r="O31" s="360">
        <v>1737230</v>
      </c>
      <c r="P31" s="361">
        <v>0.32900652187678081</v>
      </c>
      <c r="Q31" s="362" t="s">
        <v>156</v>
      </c>
    </row>
    <row r="32" spans="1:17" s="326" customFormat="1" ht="42" customHeight="1" x14ac:dyDescent="0.2">
      <c r="A32" s="374" t="s">
        <v>157</v>
      </c>
      <c r="B32" s="375">
        <v>15770</v>
      </c>
      <c r="C32" s="376">
        <v>13990</v>
      </c>
      <c r="D32" s="377">
        <v>11220</v>
      </c>
      <c r="E32" s="378">
        <v>6230</v>
      </c>
      <c r="F32" s="379">
        <v>16510</v>
      </c>
      <c r="G32" s="380">
        <v>16810</v>
      </c>
      <c r="H32" s="375">
        <v>32880</v>
      </c>
      <c r="I32" s="379">
        <v>88860</v>
      </c>
      <c r="J32" s="381">
        <v>29660</v>
      </c>
      <c r="K32" s="378">
        <v>32440</v>
      </c>
      <c r="L32" s="376">
        <v>14600</v>
      </c>
      <c r="M32" s="381">
        <v>8670</v>
      </c>
      <c r="N32" s="382">
        <v>287640</v>
      </c>
      <c r="O32" s="383">
        <v>107610</v>
      </c>
      <c r="P32" s="361">
        <v>1.6729857819905214</v>
      </c>
      <c r="Q32" s="385" t="s">
        <v>158</v>
      </c>
    </row>
    <row r="33" spans="1:17" s="326" customFormat="1" ht="42" customHeight="1" x14ac:dyDescent="0.2">
      <c r="A33" s="386" t="s">
        <v>159</v>
      </c>
      <c r="B33" s="387">
        <v>986918</v>
      </c>
      <c r="C33" s="388">
        <v>951686</v>
      </c>
      <c r="D33" s="389">
        <v>951350</v>
      </c>
      <c r="E33" s="390">
        <v>484177</v>
      </c>
      <c r="F33" s="391">
        <v>699127</v>
      </c>
      <c r="G33" s="392">
        <v>439398</v>
      </c>
      <c r="H33" s="387">
        <v>641844</v>
      </c>
      <c r="I33" s="391">
        <v>850279</v>
      </c>
      <c r="J33" s="393">
        <v>652703</v>
      </c>
      <c r="K33" s="390">
        <v>839132</v>
      </c>
      <c r="L33" s="388">
        <v>535401</v>
      </c>
      <c r="M33" s="393">
        <v>519963</v>
      </c>
      <c r="N33" s="408">
        <v>8551978</v>
      </c>
      <c r="O33" s="409">
        <v>5698848</v>
      </c>
      <c r="P33" s="396">
        <v>0.50065030686903733</v>
      </c>
      <c r="Q33" s="397" t="s">
        <v>159</v>
      </c>
    </row>
    <row r="34" spans="1:17" s="326" customFormat="1" ht="42" customHeight="1" x14ac:dyDescent="0.2">
      <c r="A34" s="398" t="s">
        <v>160</v>
      </c>
      <c r="B34" s="399">
        <v>82469</v>
      </c>
      <c r="C34" s="400">
        <v>73657</v>
      </c>
      <c r="D34" s="401">
        <v>103155</v>
      </c>
      <c r="E34" s="402">
        <v>625409</v>
      </c>
      <c r="F34" s="403">
        <v>272947</v>
      </c>
      <c r="G34" s="404">
        <v>205216</v>
      </c>
      <c r="H34" s="399">
        <v>395578</v>
      </c>
      <c r="I34" s="403">
        <v>465074</v>
      </c>
      <c r="J34" s="405">
        <v>200665</v>
      </c>
      <c r="K34" s="402">
        <v>293373</v>
      </c>
      <c r="L34" s="400">
        <v>170508</v>
      </c>
      <c r="M34" s="405">
        <v>82158</v>
      </c>
      <c r="N34" s="347">
        <v>2970209</v>
      </c>
      <c r="O34" s="348">
        <v>2174893</v>
      </c>
      <c r="P34" s="361">
        <v>0.36568051853585448</v>
      </c>
      <c r="Q34" s="407" t="s">
        <v>161</v>
      </c>
    </row>
    <row r="35" spans="1:17" s="326" customFormat="1" ht="42" customHeight="1" x14ac:dyDescent="0.2">
      <c r="A35" s="351" t="s">
        <v>162</v>
      </c>
      <c r="B35" s="352">
        <v>57880</v>
      </c>
      <c r="C35" s="353">
        <v>52240</v>
      </c>
      <c r="D35" s="354">
        <v>75220</v>
      </c>
      <c r="E35" s="355">
        <v>108380</v>
      </c>
      <c r="F35" s="356">
        <v>164030</v>
      </c>
      <c r="G35" s="357">
        <v>98560</v>
      </c>
      <c r="H35" s="352">
        <v>217380</v>
      </c>
      <c r="I35" s="356">
        <v>259890</v>
      </c>
      <c r="J35" s="358">
        <v>141430</v>
      </c>
      <c r="K35" s="355">
        <v>151660</v>
      </c>
      <c r="L35" s="353">
        <v>121740</v>
      </c>
      <c r="M35" s="358">
        <v>75860</v>
      </c>
      <c r="N35" s="359">
        <v>1524270</v>
      </c>
      <c r="O35" s="360">
        <v>1207240</v>
      </c>
      <c r="P35" s="361">
        <v>0.26260726947417257</v>
      </c>
      <c r="Q35" s="362" t="s">
        <v>163</v>
      </c>
    </row>
    <row r="36" spans="1:17" s="326" customFormat="1" ht="42" customHeight="1" x14ac:dyDescent="0.2">
      <c r="A36" s="374" t="s">
        <v>164</v>
      </c>
      <c r="B36" s="375">
        <v>302140</v>
      </c>
      <c r="C36" s="376">
        <v>265110</v>
      </c>
      <c r="D36" s="377">
        <v>247510</v>
      </c>
      <c r="E36" s="378">
        <v>264100</v>
      </c>
      <c r="F36" s="379">
        <v>481180</v>
      </c>
      <c r="G36" s="380">
        <v>445490</v>
      </c>
      <c r="H36" s="375">
        <v>519100</v>
      </c>
      <c r="I36" s="379">
        <v>628940</v>
      </c>
      <c r="J36" s="381">
        <v>370710</v>
      </c>
      <c r="K36" s="378">
        <v>462420</v>
      </c>
      <c r="L36" s="376">
        <v>382990</v>
      </c>
      <c r="M36" s="381">
        <v>219250</v>
      </c>
      <c r="N36" s="382">
        <v>4588940</v>
      </c>
      <c r="O36" s="383">
        <v>3570300</v>
      </c>
      <c r="P36" s="361">
        <v>0.28530935775705113</v>
      </c>
      <c r="Q36" s="385" t="s">
        <v>165</v>
      </c>
    </row>
    <row r="37" spans="1:17" s="326" customFormat="1" ht="42" customHeight="1" x14ac:dyDescent="0.2">
      <c r="A37" s="386" t="s">
        <v>166</v>
      </c>
      <c r="B37" s="387">
        <v>442489</v>
      </c>
      <c r="C37" s="388">
        <v>391007</v>
      </c>
      <c r="D37" s="389">
        <v>425885</v>
      </c>
      <c r="E37" s="390">
        <v>997889</v>
      </c>
      <c r="F37" s="391">
        <v>918157</v>
      </c>
      <c r="G37" s="392">
        <v>749266</v>
      </c>
      <c r="H37" s="387">
        <v>1132058</v>
      </c>
      <c r="I37" s="391">
        <v>1353904</v>
      </c>
      <c r="J37" s="393">
        <v>712805</v>
      </c>
      <c r="K37" s="390">
        <v>907453</v>
      </c>
      <c r="L37" s="388">
        <v>675238</v>
      </c>
      <c r="M37" s="393">
        <v>377268</v>
      </c>
      <c r="N37" s="408">
        <v>9083419</v>
      </c>
      <c r="O37" s="409">
        <v>6952433</v>
      </c>
      <c r="P37" s="396">
        <v>0.30650939030983837</v>
      </c>
      <c r="Q37" s="397" t="s">
        <v>166</v>
      </c>
    </row>
    <row r="38" spans="1:17" s="326" customFormat="1" ht="42" customHeight="1" thickBot="1" x14ac:dyDescent="0.25">
      <c r="A38" s="410" t="s">
        <v>167</v>
      </c>
      <c r="B38" s="411">
        <v>13574</v>
      </c>
      <c r="C38" s="412">
        <v>12329</v>
      </c>
      <c r="D38" s="413">
        <v>17767</v>
      </c>
      <c r="E38" s="414">
        <v>33135</v>
      </c>
      <c r="F38" s="415">
        <v>96998</v>
      </c>
      <c r="G38" s="416">
        <v>100755</v>
      </c>
      <c r="H38" s="411">
        <v>103621</v>
      </c>
      <c r="I38" s="415">
        <v>153532</v>
      </c>
      <c r="J38" s="417">
        <v>72996</v>
      </c>
      <c r="K38" s="414">
        <v>83337</v>
      </c>
      <c r="L38" s="412">
        <v>55369</v>
      </c>
      <c r="M38" s="417">
        <v>12552</v>
      </c>
      <c r="N38" s="418">
        <v>755965</v>
      </c>
      <c r="O38" s="419">
        <v>448479</v>
      </c>
      <c r="P38" s="420">
        <v>0.68561961652608039</v>
      </c>
      <c r="Q38" s="421" t="s">
        <v>168</v>
      </c>
    </row>
    <row r="39" spans="1:17" s="326" customFormat="1" ht="42" customHeight="1" thickTop="1" thickBot="1" x14ac:dyDescent="0.25">
      <c r="A39" s="422" t="s">
        <v>169</v>
      </c>
      <c r="B39" s="423">
        <v>3511567</v>
      </c>
      <c r="C39" s="424">
        <v>2624835</v>
      </c>
      <c r="D39" s="425">
        <v>3549800</v>
      </c>
      <c r="E39" s="426">
        <v>4612597</v>
      </c>
      <c r="F39" s="427">
        <v>5902742</v>
      </c>
      <c r="G39" s="428">
        <v>4457949</v>
      </c>
      <c r="H39" s="429">
        <v>5235024</v>
      </c>
      <c r="I39" s="427">
        <v>6960669</v>
      </c>
      <c r="J39" s="430">
        <v>4894253</v>
      </c>
      <c r="K39" s="426">
        <v>5817951</v>
      </c>
      <c r="L39" s="424">
        <v>4876044</v>
      </c>
      <c r="M39" s="430">
        <v>2881345</v>
      </c>
      <c r="N39" s="431">
        <v>55324776</v>
      </c>
      <c r="O39" s="432">
        <v>42997139</v>
      </c>
      <c r="P39" s="433">
        <v>0.28670830866211827</v>
      </c>
      <c r="Q39" s="434" t="s">
        <v>169</v>
      </c>
    </row>
    <row r="40" spans="1:17" s="326" customFormat="1" ht="18.75" x14ac:dyDescent="0.2">
      <c r="A40" s="435"/>
      <c r="B40" s="436"/>
      <c r="C40" s="436"/>
      <c r="D40" s="436"/>
      <c r="E40" s="436"/>
      <c r="F40" s="436"/>
      <c r="G40" s="436"/>
      <c r="H40" s="437"/>
      <c r="I40" s="436"/>
      <c r="J40" s="436"/>
      <c r="K40" s="436"/>
      <c r="L40" s="436"/>
      <c r="M40" s="436"/>
      <c r="N40" s="438"/>
      <c r="O40" s="439"/>
      <c r="P40" s="440"/>
      <c r="Q40" s="435"/>
    </row>
    <row r="41" spans="1:17" s="442" customFormat="1" ht="23.25" customHeight="1" x14ac:dyDescent="0.2">
      <c r="A41" s="441" t="s">
        <v>170</v>
      </c>
      <c r="H41" s="443"/>
      <c r="P41" s="443"/>
      <c r="Q41" s="318"/>
    </row>
    <row r="42" spans="1:17" ht="23.25" customHeight="1" x14ac:dyDescent="0.2">
      <c r="A42" s="444" t="s">
        <v>171</v>
      </c>
    </row>
  </sheetData>
  <mergeCells count="8">
    <mergeCell ref="P3:P4"/>
    <mergeCell ref="Q3:Q4"/>
    <mergeCell ref="N2:O2"/>
    <mergeCell ref="A3:A4"/>
    <mergeCell ref="B3:G3"/>
    <mergeCell ref="H3:M3"/>
    <mergeCell ref="N3:N4"/>
    <mergeCell ref="O3:O4"/>
  </mergeCells>
  <phoneticPr fontId="2"/>
  <printOptions horizontalCentered="1"/>
  <pageMargins left="7.874015748031496E-2" right="7.874015748031496E-2" top="0.59055118110236227" bottom="0.55118110236220474" header="0.31496062992125984" footer="0.15748031496062992"/>
  <pageSetup paperSize="9" scale="50" firstPageNumber="48" fitToWidth="0" pageOrder="overThenDown" orientation="portrait" useFirstPageNumber="1" r:id="rId1"/>
  <headerFooter differentFirst="1" alignWithMargins="0">
    <oddFooter>&amp;C&amp;"ＭＳ Ｐ明朝,標準"&amp;22- 39　-</oddFooter>
    <firstFooter>&amp;C&amp;"ＭＳ Ｐ明朝,標準"&amp;22- 38 -</firstFooter>
  </headerFooter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AF8F-87BD-46F2-8CE2-C907935040AB}">
  <sheetPr>
    <pageSetUpPr fitToPage="1"/>
  </sheetPr>
  <dimension ref="A1:Q42"/>
  <sheetViews>
    <sheetView showGridLines="0" view="pageBreakPreview" zoomScale="75" zoomScaleNormal="70" zoomScaleSheetLayoutView="7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" defaultRowHeight="12" x14ac:dyDescent="0.15"/>
  <cols>
    <col min="1" max="1" width="12.875" style="449" customWidth="1"/>
    <col min="2" max="8" width="14.125" style="449" customWidth="1"/>
    <col min="9" max="9" width="16.625" style="449" bestFit="1" customWidth="1"/>
    <col min="10" max="16384" width="7" style="449"/>
  </cols>
  <sheetData>
    <row r="1" spans="1:9" s="447" customFormat="1" ht="32.25" x14ac:dyDescent="0.15">
      <c r="A1" s="445" t="s">
        <v>172</v>
      </c>
      <c r="B1" s="446"/>
      <c r="C1" s="446"/>
      <c r="D1" s="446"/>
      <c r="E1" s="446"/>
      <c r="F1" s="446"/>
      <c r="G1" s="446"/>
      <c r="H1" s="446"/>
      <c r="I1" s="446"/>
    </row>
    <row r="2" spans="1:9" s="447" customFormat="1" ht="17.25" customHeight="1" x14ac:dyDescent="0.15">
      <c r="A2" s="448"/>
    </row>
    <row r="3" spans="1:9" ht="27" customHeight="1" x14ac:dyDescent="0.15">
      <c r="I3" s="450" t="s">
        <v>173</v>
      </c>
    </row>
    <row r="4" spans="1:9" s="456" customFormat="1" ht="35.1" customHeight="1" thickBot="1" x14ac:dyDescent="0.2">
      <c r="A4" s="451" t="s">
        <v>174</v>
      </c>
      <c r="B4" s="452" t="s">
        <v>175</v>
      </c>
      <c r="C4" s="453" t="s">
        <v>176</v>
      </c>
      <c r="D4" s="453" t="s">
        <v>177</v>
      </c>
      <c r="E4" s="454" t="s">
        <v>46</v>
      </c>
      <c r="F4" s="453" t="s">
        <v>178</v>
      </c>
      <c r="G4" s="453" t="s">
        <v>179</v>
      </c>
      <c r="H4" s="453" t="s">
        <v>180</v>
      </c>
      <c r="I4" s="455" t="s">
        <v>181</v>
      </c>
    </row>
    <row r="5" spans="1:9" s="461" customFormat="1" ht="31.5" customHeight="1" thickTop="1" x14ac:dyDescent="0.15">
      <c r="A5" s="457" t="s">
        <v>182</v>
      </c>
      <c r="B5" s="458">
        <v>53624</v>
      </c>
      <c r="C5" s="459">
        <v>64999</v>
      </c>
      <c r="D5" s="459">
        <v>259600</v>
      </c>
      <c r="E5" s="459">
        <v>96610</v>
      </c>
      <c r="F5" s="459">
        <v>720474</v>
      </c>
      <c r="G5" s="459">
        <v>0</v>
      </c>
      <c r="H5" s="459">
        <v>127616</v>
      </c>
      <c r="I5" s="460">
        <v>1322923</v>
      </c>
    </row>
    <row r="6" spans="1:9" s="461" customFormat="1" ht="31.5" customHeight="1" x14ac:dyDescent="0.15">
      <c r="A6" s="462" t="s">
        <v>183</v>
      </c>
      <c r="B6" s="463">
        <v>103470</v>
      </c>
      <c r="C6" s="464">
        <v>51090</v>
      </c>
      <c r="D6" s="464">
        <v>70310</v>
      </c>
      <c r="E6" s="464">
        <v>310240</v>
      </c>
      <c r="F6" s="464">
        <v>36160</v>
      </c>
      <c r="G6" s="464">
        <v>53690</v>
      </c>
      <c r="H6" s="464">
        <v>48770</v>
      </c>
      <c r="I6" s="465">
        <v>673730</v>
      </c>
    </row>
    <row r="7" spans="1:9" s="461" customFormat="1" ht="31.5" customHeight="1" x14ac:dyDescent="0.15">
      <c r="A7" s="462" t="s">
        <v>110</v>
      </c>
      <c r="B7" s="463">
        <v>0</v>
      </c>
      <c r="C7" s="464">
        <v>0</v>
      </c>
      <c r="D7" s="464">
        <v>111847</v>
      </c>
      <c r="E7" s="464">
        <v>0</v>
      </c>
      <c r="F7" s="464">
        <v>311503</v>
      </c>
      <c r="G7" s="464">
        <v>36973</v>
      </c>
      <c r="H7" s="464">
        <v>0</v>
      </c>
      <c r="I7" s="465">
        <v>460323</v>
      </c>
    </row>
    <row r="8" spans="1:9" s="461" customFormat="1" ht="31.5" customHeight="1" x14ac:dyDescent="0.15">
      <c r="A8" s="462" t="s">
        <v>184</v>
      </c>
      <c r="B8" s="463">
        <v>10765</v>
      </c>
      <c r="C8" s="464">
        <v>0</v>
      </c>
      <c r="D8" s="464">
        <v>0</v>
      </c>
      <c r="E8" s="464">
        <v>0</v>
      </c>
      <c r="F8" s="464">
        <v>0</v>
      </c>
      <c r="G8" s="464">
        <v>0</v>
      </c>
      <c r="H8" s="464">
        <v>0</v>
      </c>
      <c r="I8" s="465">
        <v>10765</v>
      </c>
    </row>
    <row r="9" spans="1:9" s="461" customFormat="1" ht="31.5" customHeight="1" x14ac:dyDescent="0.15">
      <c r="A9" s="457" t="s">
        <v>114</v>
      </c>
      <c r="B9" s="458">
        <v>360135</v>
      </c>
      <c r="C9" s="459">
        <v>3168395</v>
      </c>
      <c r="D9" s="459">
        <v>793549</v>
      </c>
      <c r="E9" s="459">
        <v>1652177</v>
      </c>
      <c r="F9" s="459">
        <v>4744525</v>
      </c>
      <c r="G9" s="464">
        <v>0</v>
      </c>
      <c r="H9" s="459">
        <v>2689863</v>
      </c>
      <c r="I9" s="465">
        <v>13408644</v>
      </c>
    </row>
    <row r="10" spans="1:9" s="461" customFormat="1" ht="31.5" customHeight="1" x14ac:dyDescent="0.15">
      <c r="A10" s="462" t="s">
        <v>116</v>
      </c>
      <c r="B10" s="463">
        <v>19780</v>
      </c>
      <c r="C10" s="464">
        <v>63980</v>
      </c>
      <c r="D10" s="464">
        <v>592867</v>
      </c>
      <c r="E10" s="464">
        <v>495799</v>
      </c>
      <c r="F10" s="464">
        <v>336522</v>
      </c>
      <c r="G10" s="464">
        <v>47713</v>
      </c>
      <c r="H10" s="464">
        <v>191990</v>
      </c>
      <c r="I10" s="465">
        <v>1748651</v>
      </c>
    </row>
    <row r="11" spans="1:9" s="461" customFormat="1" ht="31.5" customHeight="1" x14ac:dyDescent="0.15">
      <c r="A11" s="462" t="s">
        <v>118</v>
      </c>
      <c r="B11" s="463">
        <v>0</v>
      </c>
      <c r="C11" s="464">
        <v>79544</v>
      </c>
      <c r="D11" s="464">
        <v>105381</v>
      </c>
      <c r="E11" s="464">
        <v>0</v>
      </c>
      <c r="F11" s="464">
        <v>466890</v>
      </c>
      <c r="G11" s="464">
        <v>0</v>
      </c>
      <c r="H11" s="464">
        <v>169900</v>
      </c>
      <c r="I11" s="465">
        <v>821715</v>
      </c>
    </row>
    <row r="12" spans="1:9" s="461" customFormat="1" ht="31.5" customHeight="1" x14ac:dyDescent="0.15">
      <c r="A12" s="462" t="s">
        <v>185</v>
      </c>
      <c r="B12" s="463">
        <v>350991</v>
      </c>
      <c r="C12" s="464">
        <v>15086</v>
      </c>
      <c r="D12" s="464">
        <v>198277</v>
      </c>
      <c r="E12" s="464">
        <v>182142</v>
      </c>
      <c r="F12" s="464">
        <v>730629</v>
      </c>
      <c r="G12" s="464">
        <v>23329</v>
      </c>
      <c r="H12" s="464">
        <v>0</v>
      </c>
      <c r="I12" s="465">
        <v>1500454</v>
      </c>
    </row>
    <row r="13" spans="1:9" s="461" customFormat="1" ht="31.5" customHeight="1" x14ac:dyDescent="0.15">
      <c r="A13" s="462" t="s">
        <v>122</v>
      </c>
      <c r="B13" s="463">
        <v>0</v>
      </c>
      <c r="C13" s="464">
        <v>69500</v>
      </c>
      <c r="D13" s="464">
        <v>0</v>
      </c>
      <c r="E13" s="464">
        <v>69518</v>
      </c>
      <c r="F13" s="464">
        <v>0</v>
      </c>
      <c r="G13" s="464">
        <v>0</v>
      </c>
      <c r="H13" s="464">
        <v>12700</v>
      </c>
      <c r="I13" s="465">
        <v>151718</v>
      </c>
    </row>
    <row r="14" spans="1:9" s="461" customFormat="1" ht="31.5" customHeight="1" x14ac:dyDescent="0.15">
      <c r="A14" s="462" t="s">
        <v>186</v>
      </c>
      <c r="B14" s="463">
        <v>277376</v>
      </c>
      <c r="C14" s="464">
        <v>23217</v>
      </c>
      <c r="D14" s="464">
        <v>93423</v>
      </c>
      <c r="E14" s="464">
        <v>25891</v>
      </c>
      <c r="F14" s="464">
        <v>86900</v>
      </c>
      <c r="G14" s="464">
        <v>0</v>
      </c>
      <c r="H14" s="464">
        <v>0</v>
      </c>
      <c r="I14" s="465">
        <v>506807</v>
      </c>
    </row>
    <row r="15" spans="1:9" s="461" customFormat="1" ht="31.5" customHeight="1" x14ac:dyDescent="0.15">
      <c r="A15" s="457" t="s">
        <v>187</v>
      </c>
      <c r="B15" s="458">
        <v>499860</v>
      </c>
      <c r="C15" s="459">
        <v>1088733</v>
      </c>
      <c r="D15" s="459">
        <v>209450</v>
      </c>
      <c r="E15" s="459">
        <v>280300</v>
      </c>
      <c r="F15" s="459">
        <v>124010</v>
      </c>
      <c r="G15" s="464">
        <v>0</v>
      </c>
      <c r="H15" s="459">
        <v>35300</v>
      </c>
      <c r="I15" s="465">
        <v>2237653</v>
      </c>
    </row>
    <row r="16" spans="1:9" s="461" customFormat="1" ht="31.5" customHeight="1" x14ac:dyDescent="0.15">
      <c r="A16" s="462" t="s">
        <v>128</v>
      </c>
      <c r="B16" s="463">
        <v>18310</v>
      </c>
      <c r="C16" s="464">
        <v>24960</v>
      </c>
      <c r="D16" s="464">
        <v>146477</v>
      </c>
      <c r="E16" s="464">
        <v>12000</v>
      </c>
      <c r="F16" s="464">
        <v>379873</v>
      </c>
      <c r="G16" s="464">
        <v>0</v>
      </c>
      <c r="H16" s="464">
        <v>150300</v>
      </c>
      <c r="I16" s="465">
        <v>731920</v>
      </c>
    </row>
    <row r="17" spans="1:9" s="470" customFormat="1" ht="31.5" customHeight="1" x14ac:dyDescent="0.15">
      <c r="A17" s="466" t="s">
        <v>188</v>
      </c>
      <c r="B17" s="467">
        <v>1694311</v>
      </c>
      <c r="C17" s="468">
        <v>4649504</v>
      </c>
      <c r="D17" s="468">
        <v>2581181</v>
      </c>
      <c r="E17" s="468">
        <v>3124677</v>
      </c>
      <c r="F17" s="468">
        <v>7937486</v>
      </c>
      <c r="G17" s="468">
        <v>161705</v>
      </c>
      <c r="H17" s="468">
        <v>3426439</v>
      </c>
      <c r="I17" s="469">
        <v>23575303</v>
      </c>
    </row>
    <row r="18" spans="1:9" s="461" customFormat="1" ht="31.5" customHeight="1" x14ac:dyDescent="0.15">
      <c r="A18" s="471" t="s">
        <v>131</v>
      </c>
      <c r="B18" s="472">
        <v>81491</v>
      </c>
      <c r="C18" s="473">
        <v>643612</v>
      </c>
      <c r="D18" s="473">
        <v>484025</v>
      </c>
      <c r="E18" s="473">
        <v>773106</v>
      </c>
      <c r="F18" s="473">
        <v>3618239</v>
      </c>
      <c r="G18" s="473">
        <v>0</v>
      </c>
      <c r="H18" s="473">
        <v>512950</v>
      </c>
      <c r="I18" s="474">
        <v>6113423</v>
      </c>
    </row>
    <row r="19" spans="1:9" s="461" customFormat="1" ht="31.5" customHeight="1" x14ac:dyDescent="0.15">
      <c r="A19" s="462" t="s">
        <v>133</v>
      </c>
      <c r="B19" s="463">
        <v>80720</v>
      </c>
      <c r="C19" s="464">
        <v>91849</v>
      </c>
      <c r="D19" s="464">
        <v>150761</v>
      </c>
      <c r="E19" s="464">
        <v>216872</v>
      </c>
      <c r="F19" s="464">
        <v>829618</v>
      </c>
      <c r="G19" s="464">
        <v>51995</v>
      </c>
      <c r="H19" s="464">
        <v>345475</v>
      </c>
      <c r="I19" s="465">
        <v>1767290</v>
      </c>
    </row>
    <row r="20" spans="1:9" s="461" customFormat="1" ht="31.5" customHeight="1" x14ac:dyDescent="0.15">
      <c r="A20" s="462" t="s">
        <v>135</v>
      </c>
      <c r="B20" s="463">
        <v>202140</v>
      </c>
      <c r="C20" s="464">
        <v>261160</v>
      </c>
      <c r="D20" s="464">
        <v>83400</v>
      </c>
      <c r="E20" s="464">
        <v>617040</v>
      </c>
      <c r="F20" s="464">
        <v>336140</v>
      </c>
      <c r="G20" s="464">
        <v>0</v>
      </c>
      <c r="H20" s="464">
        <v>644790</v>
      </c>
      <c r="I20" s="465">
        <v>2144670</v>
      </c>
    </row>
    <row r="21" spans="1:9" s="461" customFormat="1" ht="31.5" customHeight="1" x14ac:dyDescent="0.15">
      <c r="A21" s="462" t="s">
        <v>137</v>
      </c>
      <c r="B21" s="463">
        <v>0</v>
      </c>
      <c r="C21" s="464">
        <v>73336</v>
      </c>
      <c r="D21" s="464">
        <v>0</v>
      </c>
      <c r="E21" s="464">
        <v>27662</v>
      </c>
      <c r="F21" s="464">
        <v>60111</v>
      </c>
      <c r="G21" s="464">
        <v>0</v>
      </c>
      <c r="H21" s="464">
        <v>214600</v>
      </c>
      <c r="I21" s="465">
        <v>375709</v>
      </c>
    </row>
    <row r="22" spans="1:9" s="461" customFormat="1" ht="31.5" customHeight="1" x14ac:dyDescent="0.15">
      <c r="A22" s="462" t="s">
        <v>139</v>
      </c>
      <c r="B22" s="463">
        <v>30493</v>
      </c>
      <c r="C22" s="464">
        <v>0</v>
      </c>
      <c r="D22" s="464">
        <v>53196</v>
      </c>
      <c r="E22" s="464">
        <v>225512</v>
      </c>
      <c r="F22" s="464">
        <v>0</v>
      </c>
      <c r="G22" s="464">
        <v>0</v>
      </c>
      <c r="H22" s="464">
        <v>0</v>
      </c>
      <c r="I22" s="465">
        <v>309201</v>
      </c>
    </row>
    <row r="23" spans="1:9" s="461" customFormat="1" ht="31.5" customHeight="1" x14ac:dyDescent="0.15">
      <c r="A23" s="462" t="s">
        <v>141</v>
      </c>
      <c r="B23" s="464">
        <v>0</v>
      </c>
      <c r="C23" s="464">
        <v>259655</v>
      </c>
      <c r="D23" s="464">
        <v>175322</v>
      </c>
      <c r="E23" s="464">
        <v>18718</v>
      </c>
      <c r="F23" s="464">
        <v>1036665</v>
      </c>
      <c r="G23" s="464">
        <v>0</v>
      </c>
      <c r="H23" s="464">
        <v>37490</v>
      </c>
      <c r="I23" s="465">
        <v>1527850</v>
      </c>
    </row>
    <row r="24" spans="1:9" s="461" customFormat="1" ht="31.5" customHeight="1" x14ac:dyDescent="0.15">
      <c r="A24" s="462" t="s">
        <v>143</v>
      </c>
      <c r="B24" s="463">
        <v>93800</v>
      </c>
      <c r="C24" s="464">
        <v>10510</v>
      </c>
      <c r="D24" s="464">
        <v>173014</v>
      </c>
      <c r="E24" s="464">
        <v>62386</v>
      </c>
      <c r="F24" s="464">
        <v>380535</v>
      </c>
      <c r="G24" s="464">
        <v>0</v>
      </c>
      <c r="H24" s="464">
        <v>0</v>
      </c>
      <c r="I24" s="465">
        <v>720245</v>
      </c>
    </row>
    <row r="25" spans="1:9" s="461" customFormat="1" ht="31.5" customHeight="1" x14ac:dyDescent="0.15">
      <c r="A25" s="462" t="s">
        <v>145</v>
      </c>
      <c r="B25" s="464">
        <v>0</v>
      </c>
      <c r="C25" s="464">
        <v>0</v>
      </c>
      <c r="D25" s="464">
        <v>0</v>
      </c>
      <c r="E25" s="464">
        <v>44307</v>
      </c>
      <c r="F25" s="464">
        <v>136931</v>
      </c>
      <c r="G25" s="464">
        <v>0</v>
      </c>
      <c r="H25" s="464">
        <v>12000</v>
      </c>
      <c r="I25" s="465">
        <v>193238</v>
      </c>
    </row>
    <row r="26" spans="1:9" s="461" customFormat="1" ht="31.5" customHeight="1" x14ac:dyDescent="0.15">
      <c r="A26" s="462" t="s">
        <v>147</v>
      </c>
      <c r="B26" s="463">
        <v>0</v>
      </c>
      <c r="C26" s="464">
        <v>19177</v>
      </c>
      <c r="D26" s="464">
        <v>0</v>
      </c>
      <c r="E26" s="464">
        <v>187308</v>
      </c>
      <c r="F26" s="464">
        <v>0</v>
      </c>
      <c r="G26" s="464">
        <v>0</v>
      </c>
      <c r="H26" s="464">
        <v>0</v>
      </c>
      <c r="I26" s="465">
        <v>206485</v>
      </c>
    </row>
    <row r="27" spans="1:9" s="470" customFormat="1" ht="31.5" customHeight="1" x14ac:dyDescent="0.15">
      <c r="A27" s="466" t="s">
        <v>189</v>
      </c>
      <c r="B27" s="467">
        <v>488644</v>
      </c>
      <c r="C27" s="468">
        <v>1359299</v>
      </c>
      <c r="D27" s="468">
        <v>1119718</v>
      </c>
      <c r="E27" s="468">
        <v>2172911</v>
      </c>
      <c r="F27" s="468">
        <v>6398239</v>
      </c>
      <c r="G27" s="468">
        <v>51995</v>
      </c>
      <c r="H27" s="468">
        <v>1767305</v>
      </c>
      <c r="I27" s="469">
        <v>13358111</v>
      </c>
    </row>
    <row r="28" spans="1:9" s="461" customFormat="1" ht="31.5" customHeight="1" x14ac:dyDescent="0.15">
      <c r="A28" s="471" t="s">
        <v>150</v>
      </c>
      <c r="B28" s="475">
        <v>371676</v>
      </c>
      <c r="C28" s="473">
        <v>203367</v>
      </c>
      <c r="D28" s="473">
        <v>211049</v>
      </c>
      <c r="E28" s="473">
        <v>53906</v>
      </c>
      <c r="F28" s="473">
        <v>487884</v>
      </c>
      <c r="G28" s="473">
        <v>0</v>
      </c>
      <c r="H28" s="473">
        <v>591138</v>
      </c>
      <c r="I28" s="474">
        <v>1919020</v>
      </c>
    </row>
    <row r="29" spans="1:9" s="461" customFormat="1" ht="31.5" customHeight="1" x14ac:dyDescent="0.15">
      <c r="A29" s="462" t="s">
        <v>190</v>
      </c>
      <c r="B29" s="476">
        <v>187881</v>
      </c>
      <c r="C29" s="477">
        <v>25722</v>
      </c>
      <c r="D29" s="477">
        <v>246261</v>
      </c>
      <c r="E29" s="477">
        <v>273312</v>
      </c>
      <c r="F29" s="477">
        <v>527940</v>
      </c>
      <c r="G29" s="477">
        <v>0</v>
      </c>
      <c r="H29" s="477">
        <v>61162</v>
      </c>
      <c r="I29" s="465">
        <v>1322278</v>
      </c>
    </row>
    <row r="30" spans="1:9" s="461" customFormat="1" ht="31.5" customHeight="1" x14ac:dyDescent="0.15">
      <c r="A30" s="462" t="s">
        <v>154</v>
      </c>
      <c r="B30" s="463">
        <v>185390</v>
      </c>
      <c r="C30" s="464">
        <v>0</v>
      </c>
      <c r="D30" s="464">
        <v>688640</v>
      </c>
      <c r="E30" s="464">
        <v>1679990</v>
      </c>
      <c r="F30" s="464">
        <v>91230</v>
      </c>
      <c r="G30" s="464">
        <v>0</v>
      </c>
      <c r="H30" s="464">
        <v>69000</v>
      </c>
      <c r="I30" s="465">
        <v>2714250</v>
      </c>
    </row>
    <row r="31" spans="1:9" s="461" customFormat="1" ht="31.5" customHeight="1" x14ac:dyDescent="0.15">
      <c r="A31" s="462" t="s">
        <v>191</v>
      </c>
      <c r="B31" s="463">
        <v>77760</v>
      </c>
      <c r="C31" s="464">
        <v>125320</v>
      </c>
      <c r="D31" s="464">
        <v>252550</v>
      </c>
      <c r="E31" s="464">
        <v>1197600</v>
      </c>
      <c r="F31" s="464">
        <v>534280</v>
      </c>
      <c r="G31" s="464">
        <v>0</v>
      </c>
      <c r="H31" s="464">
        <v>121280</v>
      </c>
      <c r="I31" s="465">
        <v>2308790</v>
      </c>
    </row>
    <row r="32" spans="1:9" s="461" customFormat="1" ht="31.5" customHeight="1" x14ac:dyDescent="0.15">
      <c r="A32" s="462" t="s">
        <v>158</v>
      </c>
      <c r="B32" s="463">
        <v>46950</v>
      </c>
      <c r="C32" s="464">
        <v>16820</v>
      </c>
      <c r="D32" s="464">
        <v>0</v>
      </c>
      <c r="E32" s="464">
        <v>142550</v>
      </c>
      <c r="F32" s="464">
        <v>0</v>
      </c>
      <c r="G32" s="464">
        <v>0</v>
      </c>
      <c r="H32" s="464">
        <v>81320</v>
      </c>
      <c r="I32" s="465">
        <v>287640</v>
      </c>
    </row>
    <row r="33" spans="1:17" s="470" customFormat="1" ht="31.5" customHeight="1" x14ac:dyDescent="0.15">
      <c r="A33" s="466" t="s">
        <v>192</v>
      </c>
      <c r="B33" s="467">
        <v>869657</v>
      </c>
      <c r="C33" s="468">
        <v>371229</v>
      </c>
      <c r="D33" s="468">
        <v>1398500</v>
      </c>
      <c r="E33" s="468">
        <v>3347358</v>
      </c>
      <c r="F33" s="468">
        <v>1641334</v>
      </c>
      <c r="G33" s="468">
        <v>0</v>
      </c>
      <c r="H33" s="468">
        <v>923900</v>
      </c>
      <c r="I33" s="469">
        <v>8551978</v>
      </c>
    </row>
    <row r="34" spans="1:17" s="461" customFormat="1" ht="31.5" customHeight="1" x14ac:dyDescent="0.15">
      <c r="A34" s="471" t="s">
        <v>161</v>
      </c>
      <c r="B34" s="472">
        <v>21298</v>
      </c>
      <c r="C34" s="473">
        <v>879524</v>
      </c>
      <c r="D34" s="473">
        <v>107867</v>
      </c>
      <c r="E34" s="473">
        <v>698776</v>
      </c>
      <c r="F34" s="473">
        <v>483575</v>
      </c>
      <c r="G34" s="473">
        <v>0</v>
      </c>
      <c r="H34" s="473">
        <v>779169</v>
      </c>
      <c r="I34" s="474">
        <v>2970209</v>
      </c>
    </row>
    <row r="35" spans="1:17" s="461" customFormat="1" ht="31.5" customHeight="1" x14ac:dyDescent="0.15">
      <c r="A35" s="462" t="s">
        <v>163</v>
      </c>
      <c r="B35" s="463">
        <v>27260</v>
      </c>
      <c r="C35" s="464">
        <v>133850</v>
      </c>
      <c r="D35" s="464">
        <v>98920</v>
      </c>
      <c r="E35" s="464">
        <v>385080</v>
      </c>
      <c r="F35" s="464">
        <v>712230</v>
      </c>
      <c r="G35" s="464">
        <v>64710</v>
      </c>
      <c r="H35" s="464">
        <v>102220</v>
      </c>
      <c r="I35" s="465">
        <v>1524270</v>
      </c>
    </row>
    <row r="36" spans="1:17" s="461" customFormat="1" ht="31.5" customHeight="1" x14ac:dyDescent="0.15">
      <c r="A36" s="478" t="s">
        <v>193</v>
      </c>
      <c r="B36" s="479">
        <v>410280</v>
      </c>
      <c r="C36" s="480">
        <v>0</v>
      </c>
      <c r="D36" s="480">
        <v>590440</v>
      </c>
      <c r="E36" s="480">
        <v>636020</v>
      </c>
      <c r="F36" s="480">
        <v>2702130</v>
      </c>
      <c r="G36" s="480">
        <v>0</v>
      </c>
      <c r="H36" s="480">
        <v>250070</v>
      </c>
      <c r="I36" s="481">
        <v>4588940</v>
      </c>
    </row>
    <row r="37" spans="1:17" s="470" customFormat="1" ht="31.5" customHeight="1" x14ac:dyDescent="0.15">
      <c r="A37" s="466" t="s">
        <v>194</v>
      </c>
      <c r="B37" s="467">
        <v>458838</v>
      </c>
      <c r="C37" s="468">
        <v>1013374</v>
      </c>
      <c r="D37" s="468">
        <v>797227</v>
      </c>
      <c r="E37" s="468">
        <v>1719876</v>
      </c>
      <c r="F37" s="468">
        <v>3897935</v>
      </c>
      <c r="G37" s="468">
        <v>64710</v>
      </c>
      <c r="H37" s="468">
        <v>1131459</v>
      </c>
      <c r="I37" s="469">
        <v>9083419</v>
      </c>
    </row>
    <row r="38" spans="1:17" s="456" customFormat="1" ht="31.5" customHeight="1" thickBot="1" x14ac:dyDescent="0.2">
      <c r="A38" s="482" t="s">
        <v>168</v>
      </c>
      <c r="B38" s="483">
        <v>130455</v>
      </c>
      <c r="C38" s="484">
        <v>389834</v>
      </c>
      <c r="D38" s="484">
        <v>159176</v>
      </c>
      <c r="E38" s="484">
        <v>0</v>
      </c>
      <c r="F38" s="484">
        <v>0</v>
      </c>
      <c r="G38" s="484">
        <v>0</v>
      </c>
      <c r="H38" s="484">
        <v>76500</v>
      </c>
      <c r="I38" s="485">
        <v>755965</v>
      </c>
    </row>
    <row r="39" spans="1:17" s="470" customFormat="1" ht="31.5" customHeight="1" thickTop="1" x14ac:dyDescent="0.15">
      <c r="A39" s="486" t="s">
        <v>195</v>
      </c>
      <c r="B39" s="487">
        <v>3641905</v>
      </c>
      <c r="C39" s="488">
        <v>7783240</v>
      </c>
      <c r="D39" s="488">
        <v>6055802</v>
      </c>
      <c r="E39" s="488">
        <v>10364822</v>
      </c>
      <c r="F39" s="488">
        <v>19874994</v>
      </c>
      <c r="G39" s="488">
        <v>278410</v>
      </c>
      <c r="H39" s="489">
        <v>7325603</v>
      </c>
      <c r="I39" s="490">
        <v>55324776</v>
      </c>
    </row>
    <row r="40" spans="1:17" ht="5.25" customHeight="1" x14ac:dyDescent="0.15">
      <c r="A40" s="491"/>
      <c r="B40" s="491"/>
      <c r="C40" s="491"/>
      <c r="D40" s="491"/>
      <c r="E40" s="491"/>
      <c r="F40" s="491"/>
      <c r="G40" s="491"/>
      <c r="H40" s="491"/>
      <c r="I40" s="491"/>
    </row>
    <row r="41" spans="1:17" s="442" customFormat="1" ht="17.25" x14ac:dyDescent="0.2">
      <c r="A41" s="492"/>
      <c r="H41" s="443"/>
      <c r="O41" s="443"/>
      <c r="P41" s="318"/>
      <c r="Q41" s="493"/>
    </row>
    <row r="42" spans="1:17" s="442" customFormat="1" ht="17.25" x14ac:dyDescent="0.2">
      <c r="A42" s="494"/>
      <c r="H42" s="443"/>
      <c r="O42" s="443"/>
      <c r="P42" s="318"/>
      <c r="Q42" s="493"/>
    </row>
  </sheetData>
  <phoneticPr fontId="2"/>
  <pageMargins left="0.70866141732283472" right="0.39370078740157483" top="0.59055118110236227" bottom="0.55118110236220474" header="0.51181102362204722" footer="0.15748031496062992"/>
  <pageSetup paperSize="9" scale="72" firstPageNumber="50" fitToHeight="0" pageOrder="overThenDown" orientation="portrait" useFirstPageNumber="1" r:id="rId1"/>
  <headerFooter alignWithMargins="0">
    <oddFooter>&amp;C&amp;"ＭＳ Ｐ明朝,標準"&amp;16- 40 -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8CCD-897A-46D3-A637-789A2F18FEAF}">
  <sheetPr>
    <pageSetUpPr fitToPage="1"/>
  </sheetPr>
  <dimension ref="A1:K196"/>
  <sheetViews>
    <sheetView view="pageBreakPreview" zoomScaleNormal="100" zoomScaleSheetLayoutView="100" workbookViewId="0"/>
  </sheetViews>
  <sheetFormatPr defaultRowHeight="11.25" x14ac:dyDescent="0.15"/>
  <cols>
    <col min="1" max="1" width="8.75" style="502" customWidth="1"/>
    <col min="2" max="2" width="35.375" style="502" customWidth="1"/>
    <col min="3" max="4" width="9.125" style="502" hidden="1" customWidth="1"/>
    <col min="5" max="5" width="21.375" style="501" customWidth="1"/>
    <col min="6" max="7" width="10.375" style="503" customWidth="1"/>
    <col min="8" max="8" width="8" style="606" bestFit="1" customWidth="1"/>
    <col min="9" max="27" width="9" style="501"/>
    <col min="28" max="29" width="9.625" style="501" customWidth="1"/>
    <col min="30" max="16384" width="9" style="501"/>
  </cols>
  <sheetData>
    <row r="1" spans="1:11" s="496" customFormat="1" ht="15" x14ac:dyDescent="0.15">
      <c r="A1" s="495" t="s">
        <v>196</v>
      </c>
      <c r="C1" s="497"/>
      <c r="D1" s="497"/>
      <c r="F1" s="498"/>
      <c r="G1" s="498"/>
      <c r="H1" s="499"/>
    </row>
    <row r="2" spans="1:11" ht="12.75" customHeight="1" x14ac:dyDescent="0.15">
      <c r="A2" s="500"/>
      <c r="B2" s="501"/>
      <c r="H2" s="504"/>
    </row>
    <row r="3" spans="1:11" ht="13.5" x14ac:dyDescent="0.15">
      <c r="A3" s="505" t="s">
        <v>197</v>
      </c>
      <c r="H3" s="506"/>
    </row>
    <row r="4" spans="1:11" s="508" customFormat="1" ht="12" x14ac:dyDescent="0.15">
      <c r="A4" s="507"/>
      <c r="C4" s="507"/>
      <c r="D4" s="507"/>
      <c r="F4" s="509"/>
      <c r="G4" s="510"/>
      <c r="H4" s="511" t="s">
        <v>198</v>
      </c>
    </row>
    <row r="5" spans="1:11" s="508" customFormat="1" ht="11.85" customHeight="1" x14ac:dyDescent="0.15">
      <c r="A5" s="512" t="s">
        <v>199</v>
      </c>
      <c r="B5" s="513" t="s">
        <v>200</v>
      </c>
      <c r="C5" s="514" t="s">
        <v>201</v>
      </c>
      <c r="D5" s="514" t="s">
        <v>202</v>
      </c>
      <c r="E5" s="515" t="s">
        <v>203</v>
      </c>
      <c r="F5" s="516" t="s">
        <v>204</v>
      </c>
      <c r="G5" s="517" t="s">
        <v>205</v>
      </c>
      <c r="H5" s="513" t="s">
        <v>206</v>
      </c>
    </row>
    <row r="6" spans="1:11" s="508" customFormat="1" ht="11.85" customHeight="1" x14ac:dyDescent="0.15">
      <c r="A6" s="518" t="s">
        <v>182</v>
      </c>
      <c r="B6" s="519" t="s">
        <v>207</v>
      </c>
      <c r="C6" s="520">
        <v>1</v>
      </c>
      <c r="D6" s="521">
        <v>3</v>
      </c>
      <c r="E6" s="522" t="s">
        <v>208</v>
      </c>
      <c r="F6" s="523">
        <v>259600</v>
      </c>
      <c r="G6" s="524">
        <v>211248</v>
      </c>
      <c r="H6" s="525">
        <v>1.2288873740816482</v>
      </c>
      <c r="J6" s="526"/>
      <c r="K6" s="527"/>
    </row>
    <row r="7" spans="1:11" s="508" customFormat="1" ht="11.85" customHeight="1" x14ac:dyDescent="0.15">
      <c r="A7" s="518"/>
      <c r="B7" s="528" t="s">
        <v>209</v>
      </c>
      <c r="C7" s="529">
        <v>1</v>
      </c>
      <c r="D7" s="530">
        <v>5</v>
      </c>
      <c r="E7" s="531" t="s">
        <v>210</v>
      </c>
      <c r="F7" s="532">
        <v>285190</v>
      </c>
      <c r="G7" s="533">
        <v>274502</v>
      </c>
      <c r="H7" s="534">
        <v>1.038935964036692</v>
      </c>
      <c r="J7" s="526"/>
      <c r="K7" s="527"/>
    </row>
    <row r="8" spans="1:11" s="508" customFormat="1" ht="11.85" customHeight="1" x14ac:dyDescent="0.15">
      <c r="A8" s="518"/>
      <c r="B8" s="528" t="s">
        <v>211</v>
      </c>
      <c r="C8" s="529">
        <v>1</v>
      </c>
      <c r="D8" s="530">
        <v>5</v>
      </c>
      <c r="E8" s="531" t="s">
        <v>210</v>
      </c>
      <c r="F8" s="532">
        <v>148953</v>
      </c>
      <c r="G8" s="533">
        <v>120765</v>
      </c>
      <c r="H8" s="534">
        <v>1.233411998509502</v>
      </c>
      <c r="J8" s="526"/>
      <c r="K8" s="527"/>
    </row>
    <row r="9" spans="1:11" s="508" customFormat="1" ht="11.85" customHeight="1" x14ac:dyDescent="0.15">
      <c r="A9" s="518"/>
      <c r="B9" s="535" t="s">
        <v>212</v>
      </c>
      <c r="C9" s="536">
        <v>1</v>
      </c>
      <c r="D9" s="537">
        <v>5</v>
      </c>
      <c r="E9" s="538" t="s">
        <v>210</v>
      </c>
      <c r="F9" s="539">
        <v>65860</v>
      </c>
      <c r="G9" s="540">
        <v>61600</v>
      </c>
      <c r="H9" s="541">
        <v>1.0691558441558442</v>
      </c>
      <c r="J9" s="526"/>
      <c r="K9" s="527"/>
    </row>
    <row r="10" spans="1:11" s="508" customFormat="1" ht="11.85" customHeight="1" x14ac:dyDescent="0.15">
      <c r="A10" s="518" t="s">
        <v>183</v>
      </c>
      <c r="B10" s="519" t="s">
        <v>213</v>
      </c>
      <c r="C10" s="520">
        <v>1</v>
      </c>
      <c r="D10" s="521">
        <v>1</v>
      </c>
      <c r="E10" s="542" t="s">
        <v>214</v>
      </c>
      <c r="F10" s="523">
        <v>103470</v>
      </c>
      <c r="G10" s="524">
        <v>101470</v>
      </c>
      <c r="H10" s="525">
        <v>1.0197102591899083</v>
      </c>
      <c r="J10" s="526"/>
      <c r="K10" s="527"/>
    </row>
    <row r="11" spans="1:11" s="508" customFormat="1" ht="11.85" customHeight="1" x14ac:dyDescent="0.15">
      <c r="A11" s="518"/>
      <c r="B11" s="528" t="s">
        <v>215</v>
      </c>
      <c r="C11" s="529">
        <v>1</v>
      </c>
      <c r="D11" s="530">
        <v>4</v>
      </c>
      <c r="E11" s="543" t="s">
        <v>216</v>
      </c>
      <c r="F11" s="532">
        <v>69940</v>
      </c>
      <c r="G11" s="533">
        <v>74080</v>
      </c>
      <c r="H11" s="534">
        <v>0.94411447084233258</v>
      </c>
      <c r="J11" s="526"/>
      <c r="K11" s="527"/>
    </row>
    <row r="12" spans="1:11" s="508" customFormat="1" ht="11.85" customHeight="1" x14ac:dyDescent="0.15">
      <c r="A12" s="518"/>
      <c r="B12" s="528" t="s">
        <v>217</v>
      </c>
      <c r="C12" s="529">
        <v>1</v>
      </c>
      <c r="D12" s="530">
        <v>6</v>
      </c>
      <c r="E12" s="543" t="s">
        <v>218</v>
      </c>
      <c r="F12" s="532">
        <v>53690</v>
      </c>
      <c r="G12" s="533">
        <v>49520</v>
      </c>
      <c r="H12" s="534">
        <v>1.0842084006462036</v>
      </c>
      <c r="J12" s="526"/>
      <c r="K12" s="527"/>
    </row>
    <row r="13" spans="1:11" s="508" customFormat="1" ht="11.85" customHeight="1" x14ac:dyDescent="0.15">
      <c r="A13" s="518"/>
      <c r="B13" s="528" t="s">
        <v>219</v>
      </c>
      <c r="C13" s="529">
        <v>1</v>
      </c>
      <c r="D13" s="530">
        <v>4</v>
      </c>
      <c r="E13" s="543" t="s">
        <v>216</v>
      </c>
      <c r="F13" s="532">
        <v>84980</v>
      </c>
      <c r="G13" s="533">
        <v>70930</v>
      </c>
      <c r="H13" s="534">
        <v>1.198082616664317</v>
      </c>
      <c r="J13" s="526"/>
      <c r="K13" s="527"/>
    </row>
    <row r="14" spans="1:11" s="508" customFormat="1" ht="11.85" customHeight="1" x14ac:dyDescent="0.15">
      <c r="A14" s="518"/>
      <c r="B14" s="544" t="s">
        <v>220</v>
      </c>
      <c r="C14" s="545">
        <v>1</v>
      </c>
      <c r="D14" s="546">
        <v>3</v>
      </c>
      <c r="E14" s="547" t="s">
        <v>208</v>
      </c>
      <c r="F14" s="548">
        <v>56900</v>
      </c>
      <c r="G14" s="549">
        <v>58800</v>
      </c>
      <c r="H14" s="550">
        <v>0.96768707482993199</v>
      </c>
      <c r="J14" s="526"/>
      <c r="K14" s="527"/>
    </row>
    <row r="15" spans="1:11" ht="12" x14ac:dyDescent="0.15">
      <c r="A15" s="518" t="s">
        <v>110</v>
      </c>
      <c r="B15" s="519" t="s">
        <v>221</v>
      </c>
      <c r="C15" s="520">
        <v>1</v>
      </c>
      <c r="D15" s="521">
        <v>3</v>
      </c>
      <c r="E15" s="522" t="s">
        <v>208</v>
      </c>
      <c r="F15" s="523">
        <v>96203</v>
      </c>
      <c r="G15" s="524">
        <v>99563</v>
      </c>
      <c r="H15" s="525">
        <v>0.96625252352781654</v>
      </c>
    </row>
    <row r="16" spans="1:11" ht="12" x14ac:dyDescent="0.15">
      <c r="A16" s="518"/>
      <c r="B16" s="551" t="s">
        <v>222</v>
      </c>
      <c r="C16" s="552">
        <v>1</v>
      </c>
      <c r="D16" s="553">
        <v>5</v>
      </c>
      <c r="E16" s="554" t="s">
        <v>210</v>
      </c>
      <c r="F16" s="555">
        <v>311503</v>
      </c>
      <c r="G16" s="555">
        <v>294393</v>
      </c>
      <c r="H16" s="550">
        <v>1.0581195884413013</v>
      </c>
    </row>
    <row r="17" spans="1:8" ht="12" x14ac:dyDescent="0.15">
      <c r="A17" s="518" t="s">
        <v>114</v>
      </c>
      <c r="B17" s="519" t="s">
        <v>223</v>
      </c>
      <c r="C17" s="520">
        <v>1</v>
      </c>
      <c r="D17" s="521">
        <v>3</v>
      </c>
      <c r="E17" s="522" t="s">
        <v>208</v>
      </c>
      <c r="F17" s="523">
        <v>154877</v>
      </c>
      <c r="G17" s="524">
        <v>144766</v>
      </c>
      <c r="H17" s="525">
        <v>1.0698437478413441</v>
      </c>
    </row>
    <row r="18" spans="1:8" ht="12" x14ac:dyDescent="0.15">
      <c r="A18" s="518"/>
      <c r="B18" s="528" t="s">
        <v>224</v>
      </c>
      <c r="C18" s="529">
        <v>1</v>
      </c>
      <c r="D18" s="530">
        <v>3</v>
      </c>
      <c r="E18" s="543" t="s">
        <v>208</v>
      </c>
      <c r="F18" s="556">
        <v>158886</v>
      </c>
      <c r="G18" s="533">
        <v>117185</v>
      </c>
      <c r="H18" s="534">
        <v>1.3558561249306651</v>
      </c>
    </row>
    <row r="19" spans="1:8" ht="12" x14ac:dyDescent="0.15">
      <c r="A19" s="518"/>
      <c r="B19" s="557" t="s">
        <v>225</v>
      </c>
      <c r="C19" s="558">
        <v>1</v>
      </c>
      <c r="D19" s="559">
        <v>3</v>
      </c>
      <c r="E19" s="543" t="s">
        <v>208</v>
      </c>
      <c r="F19" s="560">
        <v>161930</v>
      </c>
      <c r="G19" s="556">
        <v>67828</v>
      </c>
      <c r="H19" s="534">
        <v>2.3873621513239369</v>
      </c>
    </row>
    <row r="20" spans="1:8" ht="12" x14ac:dyDescent="0.15">
      <c r="A20" s="518"/>
      <c r="B20" s="528" t="s">
        <v>226</v>
      </c>
      <c r="C20" s="529">
        <v>1</v>
      </c>
      <c r="D20" s="530">
        <v>3</v>
      </c>
      <c r="E20" s="543" t="s">
        <v>208</v>
      </c>
      <c r="F20" s="556">
        <v>122544</v>
      </c>
      <c r="G20" s="533">
        <v>116402</v>
      </c>
      <c r="H20" s="534">
        <v>1.0527654164017801</v>
      </c>
    </row>
    <row r="21" spans="1:8" ht="12" x14ac:dyDescent="0.15">
      <c r="A21" s="518"/>
      <c r="B21" s="528" t="s">
        <v>227</v>
      </c>
      <c r="C21" s="529">
        <v>1</v>
      </c>
      <c r="D21" s="530">
        <v>3</v>
      </c>
      <c r="E21" s="543" t="s">
        <v>208</v>
      </c>
      <c r="F21" s="556">
        <v>92186</v>
      </c>
      <c r="G21" s="533">
        <v>88409</v>
      </c>
      <c r="H21" s="534">
        <v>1.0427218948297119</v>
      </c>
    </row>
    <row r="22" spans="1:8" ht="12" x14ac:dyDescent="0.15">
      <c r="A22" s="518"/>
      <c r="B22" s="528" t="s">
        <v>228</v>
      </c>
      <c r="C22" s="529">
        <v>1</v>
      </c>
      <c r="D22" s="530">
        <v>1</v>
      </c>
      <c r="E22" s="531" t="s">
        <v>214</v>
      </c>
      <c r="F22" s="556">
        <v>208460</v>
      </c>
      <c r="G22" s="533">
        <v>247540</v>
      </c>
      <c r="H22" s="534">
        <v>0.84212652500605967</v>
      </c>
    </row>
    <row r="23" spans="1:8" ht="12" x14ac:dyDescent="0.15">
      <c r="A23" s="518"/>
      <c r="B23" s="528" t="s">
        <v>229</v>
      </c>
      <c r="C23" s="529">
        <v>1</v>
      </c>
      <c r="D23" s="530">
        <v>2</v>
      </c>
      <c r="E23" s="561" t="s">
        <v>230</v>
      </c>
      <c r="F23" s="556">
        <v>586000</v>
      </c>
      <c r="G23" s="533">
        <v>567000</v>
      </c>
      <c r="H23" s="534">
        <v>1.0335097001763669</v>
      </c>
    </row>
    <row r="24" spans="1:8" ht="12" x14ac:dyDescent="0.15">
      <c r="A24" s="518"/>
      <c r="B24" s="528" t="s">
        <v>231</v>
      </c>
      <c r="C24" s="529">
        <v>2</v>
      </c>
      <c r="D24" s="530">
        <v>1</v>
      </c>
      <c r="E24" s="561" t="s">
        <v>232</v>
      </c>
      <c r="F24" s="556">
        <v>90000</v>
      </c>
      <c r="G24" s="533">
        <v>80000</v>
      </c>
      <c r="H24" s="534">
        <v>1.125</v>
      </c>
    </row>
    <row r="25" spans="1:8" ht="12" x14ac:dyDescent="0.15">
      <c r="A25" s="518"/>
      <c r="B25" s="557" t="s">
        <v>233</v>
      </c>
      <c r="C25" s="558">
        <v>1</v>
      </c>
      <c r="D25" s="559">
        <v>2</v>
      </c>
      <c r="E25" s="561" t="s">
        <v>230</v>
      </c>
      <c r="F25" s="556">
        <v>73903</v>
      </c>
      <c r="G25" s="556">
        <v>90350</v>
      </c>
      <c r="H25" s="534">
        <v>0.8179634753735473</v>
      </c>
    </row>
    <row r="26" spans="1:8" ht="12" x14ac:dyDescent="0.15">
      <c r="A26" s="518"/>
      <c r="B26" s="528" t="s">
        <v>234</v>
      </c>
      <c r="C26" s="529">
        <v>2</v>
      </c>
      <c r="D26" s="530">
        <v>1</v>
      </c>
      <c r="E26" s="561" t="s">
        <v>232</v>
      </c>
      <c r="F26" s="560">
        <v>132740</v>
      </c>
      <c r="G26" s="533">
        <v>84700</v>
      </c>
      <c r="H26" s="534">
        <v>1.5671782762691853</v>
      </c>
    </row>
    <row r="27" spans="1:8" ht="12" x14ac:dyDescent="0.15">
      <c r="A27" s="518"/>
      <c r="B27" s="528" t="s">
        <v>235</v>
      </c>
      <c r="C27" s="529">
        <v>1</v>
      </c>
      <c r="D27" s="530">
        <v>2</v>
      </c>
      <c r="E27" s="561" t="s">
        <v>230</v>
      </c>
      <c r="F27" s="532">
        <v>60457</v>
      </c>
      <c r="G27" s="533">
        <v>53830</v>
      </c>
      <c r="H27" s="534">
        <v>1.1231097900798812</v>
      </c>
    </row>
    <row r="28" spans="1:8" ht="12" x14ac:dyDescent="0.15">
      <c r="A28" s="518"/>
      <c r="B28" s="528" t="s">
        <v>236</v>
      </c>
      <c r="C28" s="529">
        <v>1</v>
      </c>
      <c r="D28" s="530">
        <v>2</v>
      </c>
      <c r="E28" s="561" t="s">
        <v>230</v>
      </c>
      <c r="F28" s="532">
        <v>492040</v>
      </c>
      <c r="G28" s="533">
        <v>419589</v>
      </c>
      <c r="H28" s="534">
        <v>1.1726713522041807</v>
      </c>
    </row>
    <row r="29" spans="1:8" ht="12" x14ac:dyDescent="0.15">
      <c r="A29" s="518"/>
      <c r="B29" s="528" t="s">
        <v>237</v>
      </c>
      <c r="C29" s="529">
        <v>1</v>
      </c>
      <c r="D29" s="530">
        <v>2</v>
      </c>
      <c r="E29" s="561" t="s">
        <v>230</v>
      </c>
      <c r="F29" s="532">
        <v>222151</v>
      </c>
      <c r="G29" s="533">
        <v>165633</v>
      </c>
      <c r="H29" s="534">
        <v>1.3412242729407786</v>
      </c>
    </row>
    <row r="30" spans="1:8" ht="12" x14ac:dyDescent="0.15">
      <c r="A30" s="518"/>
      <c r="B30" s="528" t="s">
        <v>238</v>
      </c>
      <c r="C30" s="529">
        <v>1</v>
      </c>
      <c r="D30" s="530">
        <v>2</v>
      </c>
      <c r="E30" s="561" t="s">
        <v>230</v>
      </c>
      <c r="F30" s="532">
        <v>85077</v>
      </c>
      <c r="G30" s="533">
        <v>60915</v>
      </c>
      <c r="H30" s="534">
        <v>1.3966510711647377</v>
      </c>
    </row>
    <row r="31" spans="1:8" ht="12" x14ac:dyDescent="0.15">
      <c r="A31" s="518"/>
      <c r="B31" s="528" t="s">
        <v>239</v>
      </c>
      <c r="C31" s="529">
        <v>1</v>
      </c>
      <c r="D31" s="530">
        <v>2</v>
      </c>
      <c r="E31" s="561" t="s">
        <v>230</v>
      </c>
      <c r="F31" s="532">
        <v>113641</v>
      </c>
      <c r="G31" s="533">
        <v>79419</v>
      </c>
      <c r="H31" s="534">
        <v>1.4309044435210718</v>
      </c>
    </row>
    <row r="32" spans="1:8" ht="12" x14ac:dyDescent="0.15">
      <c r="A32" s="518"/>
      <c r="B32" s="557" t="s">
        <v>240</v>
      </c>
      <c r="C32" s="558">
        <v>1</v>
      </c>
      <c r="D32" s="559">
        <v>2</v>
      </c>
      <c r="E32" s="561" t="s">
        <v>230</v>
      </c>
      <c r="F32" s="560">
        <v>52631</v>
      </c>
      <c r="G32" s="556">
        <v>75935</v>
      </c>
      <c r="H32" s="534">
        <v>0.69310594587476126</v>
      </c>
    </row>
    <row r="33" spans="1:8" ht="12" x14ac:dyDescent="0.15">
      <c r="A33" s="518"/>
      <c r="B33" s="528" t="s">
        <v>241</v>
      </c>
      <c r="C33" s="529">
        <v>1</v>
      </c>
      <c r="D33" s="530">
        <v>2</v>
      </c>
      <c r="E33" s="561" t="s">
        <v>230</v>
      </c>
      <c r="F33" s="532">
        <v>270357</v>
      </c>
      <c r="G33" s="556">
        <v>265419</v>
      </c>
      <c r="H33" s="534">
        <v>1.0186045460196895</v>
      </c>
    </row>
    <row r="34" spans="1:8" ht="12" x14ac:dyDescent="0.15">
      <c r="A34" s="518"/>
      <c r="B34" s="528" t="s">
        <v>242</v>
      </c>
      <c r="C34" s="529">
        <v>1</v>
      </c>
      <c r="D34" s="530">
        <v>2</v>
      </c>
      <c r="E34" s="561" t="s">
        <v>230</v>
      </c>
      <c r="F34" s="560">
        <v>137769</v>
      </c>
      <c r="G34" s="533">
        <v>82012</v>
      </c>
      <c r="H34" s="534">
        <v>1.6798639223528264</v>
      </c>
    </row>
    <row r="35" spans="1:8" ht="12" x14ac:dyDescent="0.15">
      <c r="A35" s="518"/>
      <c r="B35" s="528" t="s">
        <v>243</v>
      </c>
      <c r="C35" s="529">
        <v>1</v>
      </c>
      <c r="D35" s="530">
        <v>5</v>
      </c>
      <c r="E35" s="531" t="s">
        <v>210</v>
      </c>
      <c r="F35" s="560">
        <v>1598000</v>
      </c>
      <c r="G35" s="533">
        <v>1397200</v>
      </c>
      <c r="H35" s="534">
        <v>1.1437160034354423</v>
      </c>
    </row>
    <row r="36" spans="1:8" ht="12" x14ac:dyDescent="0.15">
      <c r="A36" s="518"/>
      <c r="B36" s="528" t="s">
        <v>244</v>
      </c>
      <c r="C36" s="529">
        <v>1</v>
      </c>
      <c r="D36" s="530">
        <v>5</v>
      </c>
      <c r="E36" s="531" t="s">
        <v>210</v>
      </c>
      <c r="F36" s="560">
        <v>601289</v>
      </c>
      <c r="G36" s="533">
        <v>622813</v>
      </c>
      <c r="H36" s="534">
        <v>0.96544066999243749</v>
      </c>
    </row>
    <row r="37" spans="1:8" ht="12" x14ac:dyDescent="0.15">
      <c r="A37" s="518"/>
      <c r="B37" s="528" t="s">
        <v>245</v>
      </c>
      <c r="C37" s="529">
        <v>2</v>
      </c>
      <c r="D37" s="530">
        <v>1</v>
      </c>
      <c r="E37" s="561" t="s">
        <v>232</v>
      </c>
      <c r="F37" s="556">
        <v>133953</v>
      </c>
      <c r="G37" s="533">
        <v>71663</v>
      </c>
      <c r="H37" s="534">
        <v>1.8692072617668811</v>
      </c>
    </row>
    <row r="38" spans="1:8" ht="12" x14ac:dyDescent="0.15">
      <c r="A38" s="518"/>
      <c r="B38" s="528" t="s">
        <v>246</v>
      </c>
      <c r="C38" s="529">
        <v>1</v>
      </c>
      <c r="D38" s="530">
        <v>5</v>
      </c>
      <c r="E38" s="531" t="s">
        <v>210</v>
      </c>
      <c r="F38" s="556">
        <v>237069</v>
      </c>
      <c r="G38" s="533">
        <v>244308</v>
      </c>
      <c r="H38" s="534">
        <v>0.97036936981187683</v>
      </c>
    </row>
    <row r="39" spans="1:8" ht="12" x14ac:dyDescent="0.15">
      <c r="A39" s="518"/>
      <c r="B39" s="528" t="s">
        <v>247</v>
      </c>
      <c r="C39" s="529">
        <v>1</v>
      </c>
      <c r="D39" s="530">
        <v>5</v>
      </c>
      <c r="E39" s="531" t="s">
        <v>210</v>
      </c>
      <c r="F39" s="556">
        <v>232551</v>
      </c>
      <c r="G39" s="533">
        <v>211554</v>
      </c>
      <c r="H39" s="534">
        <v>1.0992512549987237</v>
      </c>
    </row>
    <row r="40" spans="1:8" ht="12" x14ac:dyDescent="0.15">
      <c r="A40" s="518"/>
      <c r="B40" s="528" t="s">
        <v>248</v>
      </c>
      <c r="C40" s="529">
        <v>2</v>
      </c>
      <c r="D40" s="530">
        <v>1</v>
      </c>
      <c r="E40" s="561" t="s">
        <v>232</v>
      </c>
      <c r="F40" s="556">
        <v>496800</v>
      </c>
      <c r="G40" s="533">
        <v>399900</v>
      </c>
      <c r="H40" s="534">
        <v>1.242310577644411</v>
      </c>
    </row>
    <row r="41" spans="1:8" ht="12" x14ac:dyDescent="0.15">
      <c r="A41" s="518"/>
      <c r="B41" s="528" t="s">
        <v>249</v>
      </c>
      <c r="C41" s="529">
        <v>2</v>
      </c>
      <c r="D41" s="530">
        <v>1</v>
      </c>
      <c r="E41" s="561" t="s">
        <v>232</v>
      </c>
      <c r="F41" s="560">
        <v>125250</v>
      </c>
      <c r="G41" s="562" t="s">
        <v>250</v>
      </c>
      <c r="H41" s="534" t="s">
        <v>251</v>
      </c>
    </row>
    <row r="42" spans="1:8" ht="12" x14ac:dyDescent="0.15">
      <c r="A42" s="518"/>
      <c r="B42" s="528" t="s">
        <v>252</v>
      </c>
      <c r="C42" s="529">
        <v>2</v>
      </c>
      <c r="D42" s="530">
        <v>1</v>
      </c>
      <c r="E42" s="561" t="s">
        <v>232</v>
      </c>
      <c r="F42" s="560">
        <v>100000</v>
      </c>
      <c r="G42" s="533">
        <v>63300</v>
      </c>
      <c r="H42" s="534">
        <v>1.5797788309636651</v>
      </c>
    </row>
    <row r="43" spans="1:8" ht="12" x14ac:dyDescent="0.15">
      <c r="A43" s="518"/>
      <c r="B43" s="557" t="s">
        <v>253</v>
      </c>
      <c r="C43" s="563">
        <v>2</v>
      </c>
      <c r="D43" s="564">
        <v>1</v>
      </c>
      <c r="E43" s="561" t="s">
        <v>232</v>
      </c>
      <c r="F43" s="556">
        <v>80000</v>
      </c>
      <c r="G43" s="556">
        <v>40000</v>
      </c>
      <c r="H43" s="534">
        <v>2</v>
      </c>
    </row>
    <row r="44" spans="1:8" ht="12" x14ac:dyDescent="0.15">
      <c r="A44" s="518"/>
      <c r="B44" s="557" t="s">
        <v>254</v>
      </c>
      <c r="C44" s="563">
        <v>1</v>
      </c>
      <c r="D44" s="564">
        <v>4</v>
      </c>
      <c r="E44" s="543" t="s">
        <v>216</v>
      </c>
      <c r="F44" s="556">
        <v>101450</v>
      </c>
      <c r="G44" s="556">
        <v>115650</v>
      </c>
      <c r="H44" s="534">
        <v>0.87721573713791612</v>
      </c>
    </row>
    <row r="45" spans="1:8" ht="12" x14ac:dyDescent="0.15">
      <c r="A45" s="518"/>
      <c r="B45" s="557" t="s">
        <v>255</v>
      </c>
      <c r="C45" s="558">
        <v>1</v>
      </c>
      <c r="D45" s="559">
        <v>1</v>
      </c>
      <c r="E45" s="531" t="s">
        <v>214</v>
      </c>
      <c r="F45" s="560">
        <v>108375</v>
      </c>
      <c r="G45" s="556">
        <v>110235</v>
      </c>
      <c r="H45" s="534">
        <v>0.98312695604844191</v>
      </c>
    </row>
    <row r="46" spans="1:8" ht="12" x14ac:dyDescent="0.15">
      <c r="A46" s="518"/>
      <c r="B46" s="528" t="s">
        <v>256</v>
      </c>
      <c r="C46" s="529">
        <v>1</v>
      </c>
      <c r="D46" s="530">
        <v>4</v>
      </c>
      <c r="E46" s="543" t="s">
        <v>216</v>
      </c>
      <c r="F46" s="532">
        <v>230284</v>
      </c>
      <c r="G46" s="533">
        <v>161947</v>
      </c>
      <c r="H46" s="534">
        <v>1.42197138570026</v>
      </c>
    </row>
    <row r="47" spans="1:8" ht="12" x14ac:dyDescent="0.15">
      <c r="A47" s="518"/>
      <c r="B47" s="528" t="s">
        <v>257</v>
      </c>
      <c r="C47" s="529">
        <v>2</v>
      </c>
      <c r="D47" s="530">
        <v>1</v>
      </c>
      <c r="E47" s="561" t="s">
        <v>232</v>
      </c>
      <c r="F47" s="560">
        <v>342709</v>
      </c>
      <c r="G47" s="533">
        <v>292994</v>
      </c>
      <c r="H47" s="534">
        <v>1.1696792425783462</v>
      </c>
    </row>
    <row r="48" spans="1:8" ht="12" x14ac:dyDescent="0.15">
      <c r="A48" s="518"/>
      <c r="B48" s="528" t="s">
        <v>258</v>
      </c>
      <c r="C48" s="529">
        <v>2</v>
      </c>
      <c r="D48" s="530">
        <v>1</v>
      </c>
      <c r="E48" s="561" t="s">
        <v>232</v>
      </c>
      <c r="F48" s="556">
        <v>77152</v>
      </c>
      <c r="G48" s="533">
        <v>75380</v>
      </c>
      <c r="H48" s="534">
        <v>1.0235075616874503</v>
      </c>
    </row>
    <row r="49" spans="1:8" ht="12" x14ac:dyDescent="0.15">
      <c r="A49" s="518"/>
      <c r="B49" s="528" t="s">
        <v>259</v>
      </c>
      <c r="C49" s="529">
        <v>2</v>
      </c>
      <c r="D49" s="530">
        <v>1</v>
      </c>
      <c r="E49" s="561" t="s">
        <v>232</v>
      </c>
      <c r="F49" s="556">
        <v>96878</v>
      </c>
      <c r="G49" s="533">
        <v>100947</v>
      </c>
      <c r="H49" s="534">
        <v>0.95969171941711984</v>
      </c>
    </row>
    <row r="50" spans="1:8" ht="12" x14ac:dyDescent="0.15">
      <c r="A50" s="518"/>
      <c r="B50" s="557" t="s">
        <v>260</v>
      </c>
      <c r="C50" s="558">
        <v>2</v>
      </c>
      <c r="D50" s="559">
        <v>1</v>
      </c>
      <c r="E50" s="561" t="s">
        <v>232</v>
      </c>
      <c r="F50" s="560">
        <v>91382</v>
      </c>
      <c r="G50" s="556">
        <v>94799</v>
      </c>
      <c r="H50" s="534">
        <v>0.96395531598434581</v>
      </c>
    </row>
    <row r="51" spans="1:8" ht="12" x14ac:dyDescent="0.15">
      <c r="A51" s="518"/>
      <c r="B51" s="528" t="s">
        <v>261</v>
      </c>
      <c r="C51" s="529">
        <v>2</v>
      </c>
      <c r="D51" s="530">
        <v>1</v>
      </c>
      <c r="E51" s="561" t="s">
        <v>232</v>
      </c>
      <c r="F51" s="556">
        <v>69930</v>
      </c>
      <c r="G51" s="533">
        <v>71832</v>
      </c>
      <c r="H51" s="534">
        <v>0.97352155028399601</v>
      </c>
    </row>
    <row r="52" spans="1:8" ht="12" x14ac:dyDescent="0.15">
      <c r="A52" s="518"/>
      <c r="B52" s="528" t="s">
        <v>262</v>
      </c>
      <c r="C52" s="529">
        <v>2</v>
      </c>
      <c r="D52" s="530">
        <v>1</v>
      </c>
      <c r="E52" s="561" t="s">
        <v>232</v>
      </c>
      <c r="F52" s="556">
        <v>83260</v>
      </c>
      <c r="G52" s="533">
        <v>39533</v>
      </c>
      <c r="H52" s="534">
        <v>2.1060885842207777</v>
      </c>
    </row>
    <row r="53" spans="1:8" ht="12" x14ac:dyDescent="0.15">
      <c r="A53" s="518"/>
      <c r="B53" s="528" t="s">
        <v>263</v>
      </c>
      <c r="C53" s="529">
        <v>2</v>
      </c>
      <c r="D53" s="530">
        <v>1</v>
      </c>
      <c r="E53" s="561" t="s">
        <v>232</v>
      </c>
      <c r="F53" s="556">
        <v>99072</v>
      </c>
      <c r="G53" s="533">
        <v>93482</v>
      </c>
      <c r="H53" s="534">
        <v>1.0597976080956761</v>
      </c>
    </row>
    <row r="54" spans="1:8" ht="12" x14ac:dyDescent="0.15">
      <c r="A54" s="518"/>
      <c r="B54" s="528" t="s">
        <v>264</v>
      </c>
      <c r="C54" s="529">
        <v>1</v>
      </c>
      <c r="D54" s="530">
        <v>5</v>
      </c>
      <c r="E54" s="531" t="s">
        <v>210</v>
      </c>
      <c r="F54" s="556">
        <v>157700</v>
      </c>
      <c r="G54" s="533">
        <v>159436</v>
      </c>
      <c r="H54" s="534">
        <v>0.98911161845505402</v>
      </c>
    </row>
    <row r="55" spans="1:8" ht="12" x14ac:dyDescent="0.15">
      <c r="A55" s="518"/>
      <c r="B55" s="528" t="s">
        <v>265</v>
      </c>
      <c r="C55" s="529">
        <v>1</v>
      </c>
      <c r="D55" s="530">
        <v>5</v>
      </c>
      <c r="E55" s="531" t="s">
        <v>210</v>
      </c>
      <c r="F55" s="560">
        <v>1109919</v>
      </c>
      <c r="G55" s="533">
        <v>993084</v>
      </c>
      <c r="H55" s="534">
        <v>1.1176486581195548</v>
      </c>
    </row>
    <row r="56" spans="1:8" ht="12" x14ac:dyDescent="0.15">
      <c r="A56" s="518"/>
      <c r="B56" s="557" t="s">
        <v>266</v>
      </c>
      <c r="C56" s="558">
        <v>1</v>
      </c>
      <c r="D56" s="559">
        <v>2</v>
      </c>
      <c r="E56" s="561" t="s">
        <v>230</v>
      </c>
      <c r="F56" s="560">
        <v>302857</v>
      </c>
      <c r="G56" s="556">
        <v>278694</v>
      </c>
      <c r="H56" s="534">
        <v>1.0867008259955364</v>
      </c>
    </row>
    <row r="57" spans="1:8" ht="12" x14ac:dyDescent="0.15">
      <c r="A57" s="518"/>
      <c r="B57" s="557" t="s">
        <v>267</v>
      </c>
      <c r="C57" s="558">
        <v>1</v>
      </c>
      <c r="D57" s="559">
        <v>5</v>
      </c>
      <c r="E57" s="531" t="s">
        <v>210</v>
      </c>
      <c r="F57" s="560">
        <v>269946</v>
      </c>
      <c r="G57" s="556">
        <v>258887</v>
      </c>
      <c r="H57" s="534">
        <v>1.0427174790545681</v>
      </c>
    </row>
    <row r="58" spans="1:8" ht="12" x14ac:dyDescent="0.15">
      <c r="A58" s="518"/>
      <c r="B58" s="557" t="s">
        <v>268</v>
      </c>
      <c r="C58" s="558">
        <v>1</v>
      </c>
      <c r="D58" s="559">
        <v>5</v>
      </c>
      <c r="E58" s="531" t="s">
        <v>210</v>
      </c>
      <c r="F58" s="556">
        <v>104449</v>
      </c>
      <c r="G58" s="556">
        <v>103447</v>
      </c>
      <c r="H58" s="534">
        <v>1.00968611946214</v>
      </c>
    </row>
    <row r="59" spans="1:8" ht="12" x14ac:dyDescent="0.15">
      <c r="A59" s="518"/>
      <c r="B59" s="557" t="s">
        <v>269</v>
      </c>
      <c r="C59" s="563">
        <v>1</v>
      </c>
      <c r="D59" s="564">
        <v>2</v>
      </c>
      <c r="E59" s="561" t="s">
        <v>230</v>
      </c>
      <c r="F59" s="556">
        <v>152846</v>
      </c>
      <c r="G59" s="556">
        <v>125372</v>
      </c>
      <c r="H59" s="534">
        <v>1.2191398398366462</v>
      </c>
    </row>
    <row r="60" spans="1:8" ht="12" x14ac:dyDescent="0.15">
      <c r="A60" s="518"/>
      <c r="B60" s="528" t="s">
        <v>270</v>
      </c>
      <c r="C60" s="529">
        <v>1</v>
      </c>
      <c r="D60" s="530">
        <v>4</v>
      </c>
      <c r="E60" s="543" t="s">
        <v>216</v>
      </c>
      <c r="F60" s="556">
        <v>81609</v>
      </c>
      <c r="G60" s="533">
        <v>84718</v>
      </c>
      <c r="H60" s="534">
        <v>0.96330177766236214</v>
      </c>
    </row>
    <row r="61" spans="1:8" ht="12" x14ac:dyDescent="0.15">
      <c r="A61" s="518"/>
      <c r="B61" s="528" t="s">
        <v>271</v>
      </c>
      <c r="C61" s="529">
        <v>1</v>
      </c>
      <c r="D61" s="530">
        <v>4</v>
      </c>
      <c r="E61" s="543" t="s">
        <v>216</v>
      </c>
      <c r="F61" s="556">
        <v>155190</v>
      </c>
      <c r="G61" s="533">
        <v>156508</v>
      </c>
      <c r="H61" s="534">
        <v>0.99157870524190461</v>
      </c>
    </row>
    <row r="62" spans="1:8" ht="12" x14ac:dyDescent="0.15">
      <c r="A62" s="518"/>
      <c r="B62" s="528" t="s">
        <v>272</v>
      </c>
      <c r="C62" s="529">
        <v>1</v>
      </c>
      <c r="D62" s="530">
        <v>4</v>
      </c>
      <c r="E62" s="543" t="s">
        <v>216</v>
      </c>
      <c r="F62" s="560">
        <v>675130</v>
      </c>
      <c r="G62" s="533">
        <v>681197</v>
      </c>
      <c r="H62" s="534">
        <v>0.99109361902650772</v>
      </c>
    </row>
    <row r="63" spans="1:8" ht="12" x14ac:dyDescent="0.15">
      <c r="A63" s="518"/>
      <c r="B63" s="528" t="s">
        <v>273</v>
      </c>
      <c r="C63" s="529">
        <v>1</v>
      </c>
      <c r="D63" s="530">
        <v>5</v>
      </c>
      <c r="E63" s="531" t="s">
        <v>210</v>
      </c>
      <c r="F63" s="560">
        <v>180195</v>
      </c>
      <c r="G63" s="533">
        <v>165673</v>
      </c>
      <c r="H63" s="534">
        <v>1.0876545967055586</v>
      </c>
    </row>
    <row r="64" spans="1:8" ht="12" x14ac:dyDescent="0.15">
      <c r="A64" s="518"/>
      <c r="B64" s="544" t="s">
        <v>274</v>
      </c>
      <c r="C64" s="545">
        <v>2</v>
      </c>
      <c r="D64" s="546">
        <v>1</v>
      </c>
      <c r="E64" s="565" t="s">
        <v>232</v>
      </c>
      <c r="F64" s="566">
        <v>66122</v>
      </c>
      <c r="G64" s="549">
        <v>25895</v>
      </c>
      <c r="H64" s="550">
        <v>2.5534659200617882</v>
      </c>
    </row>
    <row r="65" spans="1:8" ht="12" x14ac:dyDescent="0.15">
      <c r="A65" s="518" t="s">
        <v>116</v>
      </c>
      <c r="B65" s="519" t="s">
        <v>275</v>
      </c>
      <c r="C65" s="520">
        <v>1</v>
      </c>
      <c r="D65" s="521">
        <v>3</v>
      </c>
      <c r="E65" s="522" t="s">
        <v>208</v>
      </c>
      <c r="F65" s="567">
        <v>353218</v>
      </c>
      <c r="G65" s="524">
        <v>298244</v>
      </c>
      <c r="H65" s="525">
        <v>1.1843255857619934</v>
      </c>
    </row>
    <row r="66" spans="1:8" ht="12" x14ac:dyDescent="0.15">
      <c r="A66" s="518"/>
      <c r="B66" s="528" t="s">
        <v>276</v>
      </c>
      <c r="C66" s="529">
        <v>1</v>
      </c>
      <c r="D66" s="530">
        <v>3</v>
      </c>
      <c r="E66" s="543" t="s">
        <v>208</v>
      </c>
      <c r="F66" s="560">
        <v>108589</v>
      </c>
      <c r="G66" s="533">
        <v>115611</v>
      </c>
      <c r="H66" s="534">
        <v>0.93926183494650162</v>
      </c>
    </row>
    <row r="67" spans="1:8" ht="12" x14ac:dyDescent="0.15">
      <c r="A67" s="518"/>
      <c r="B67" s="528" t="s">
        <v>277</v>
      </c>
      <c r="C67" s="529">
        <v>1</v>
      </c>
      <c r="D67" s="530">
        <v>4</v>
      </c>
      <c r="E67" s="543" t="s">
        <v>216</v>
      </c>
      <c r="F67" s="560">
        <v>72842</v>
      </c>
      <c r="G67" s="533">
        <v>76770</v>
      </c>
      <c r="H67" s="534">
        <v>0.94883418001823627</v>
      </c>
    </row>
    <row r="68" spans="1:8" ht="12" x14ac:dyDescent="0.15">
      <c r="A68" s="518"/>
      <c r="B68" s="528" t="s">
        <v>278</v>
      </c>
      <c r="C68" s="529">
        <v>1</v>
      </c>
      <c r="D68" s="530">
        <v>5</v>
      </c>
      <c r="E68" s="531" t="s">
        <v>210</v>
      </c>
      <c r="F68" s="560">
        <v>247912</v>
      </c>
      <c r="G68" s="533">
        <v>24840</v>
      </c>
      <c r="H68" s="534">
        <v>9.9803542673107888</v>
      </c>
    </row>
    <row r="69" spans="1:8" ht="12" x14ac:dyDescent="0.15">
      <c r="A69" s="518"/>
      <c r="B69" s="528" t="s">
        <v>279</v>
      </c>
      <c r="C69" s="529">
        <v>1</v>
      </c>
      <c r="D69" s="530">
        <v>5</v>
      </c>
      <c r="E69" s="531" t="s">
        <v>210</v>
      </c>
      <c r="F69" s="560">
        <v>67590</v>
      </c>
      <c r="G69" s="533">
        <v>5227</v>
      </c>
      <c r="H69" s="534">
        <v>12.930935527070977</v>
      </c>
    </row>
    <row r="70" spans="1:8" ht="12" x14ac:dyDescent="0.15">
      <c r="A70" s="518"/>
      <c r="B70" s="528" t="s">
        <v>280</v>
      </c>
      <c r="C70" s="529">
        <v>2</v>
      </c>
      <c r="D70" s="530">
        <v>1</v>
      </c>
      <c r="E70" s="561" t="s">
        <v>232</v>
      </c>
      <c r="F70" s="560">
        <v>80600</v>
      </c>
      <c r="G70" s="533" t="s">
        <v>281</v>
      </c>
      <c r="H70" s="534" t="s">
        <v>251</v>
      </c>
    </row>
    <row r="71" spans="1:8" ht="12" x14ac:dyDescent="0.15">
      <c r="A71" s="518"/>
      <c r="B71" s="528" t="s">
        <v>282</v>
      </c>
      <c r="C71" s="529">
        <v>2</v>
      </c>
      <c r="D71" s="530">
        <v>1</v>
      </c>
      <c r="E71" s="561" t="s">
        <v>232</v>
      </c>
      <c r="F71" s="560">
        <v>60659</v>
      </c>
      <c r="G71" s="533">
        <v>46896</v>
      </c>
      <c r="H71" s="534">
        <v>1.293479187990447</v>
      </c>
    </row>
    <row r="72" spans="1:8" ht="12" x14ac:dyDescent="0.15">
      <c r="A72" s="518"/>
      <c r="B72" s="544" t="s">
        <v>283</v>
      </c>
      <c r="C72" s="545">
        <v>1</v>
      </c>
      <c r="D72" s="546">
        <v>4</v>
      </c>
      <c r="E72" s="547" t="s">
        <v>216</v>
      </c>
      <c r="F72" s="566">
        <v>132644</v>
      </c>
      <c r="G72" s="549">
        <v>95993</v>
      </c>
      <c r="H72" s="550">
        <v>1.3818090902461637</v>
      </c>
    </row>
    <row r="73" spans="1:8" ht="12" x14ac:dyDescent="0.15">
      <c r="A73" s="518" t="s">
        <v>118</v>
      </c>
      <c r="B73" s="519" t="s">
        <v>284</v>
      </c>
      <c r="C73" s="520">
        <v>1</v>
      </c>
      <c r="D73" s="521">
        <v>3</v>
      </c>
      <c r="E73" s="522" t="s">
        <v>208</v>
      </c>
      <c r="F73" s="567">
        <v>105381</v>
      </c>
      <c r="G73" s="524">
        <v>88191</v>
      </c>
      <c r="H73" s="525">
        <v>1.1949178487600776</v>
      </c>
    </row>
    <row r="74" spans="1:8" ht="12" x14ac:dyDescent="0.15">
      <c r="A74" s="518"/>
      <c r="B74" s="528" t="s">
        <v>285</v>
      </c>
      <c r="C74" s="529">
        <v>1</v>
      </c>
      <c r="D74" s="530">
        <v>5</v>
      </c>
      <c r="E74" s="531" t="s">
        <v>210</v>
      </c>
      <c r="F74" s="560">
        <v>255424</v>
      </c>
      <c r="G74" s="533">
        <v>147413</v>
      </c>
      <c r="H74" s="534">
        <v>1.7327101408966645</v>
      </c>
    </row>
    <row r="75" spans="1:8" ht="12" x14ac:dyDescent="0.15">
      <c r="A75" s="518"/>
      <c r="B75" s="528" t="s">
        <v>286</v>
      </c>
      <c r="C75" s="529">
        <v>2</v>
      </c>
      <c r="D75" s="530">
        <v>1</v>
      </c>
      <c r="E75" s="561" t="s">
        <v>232</v>
      </c>
      <c r="F75" s="560">
        <v>59000</v>
      </c>
      <c r="G75" s="533" t="s">
        <v>281</v>
      </c>
      <c r="H75" s="534" t="s">
        <v>251</v>
      </c>
    </row>
    <row r="76" spans="1:8" ht="12" x14ac:dyDescent="0.15">
      <c r="A76" s="518"/>
      <c r="B76" s="544" t="s">
        <v>287</v>
      </c>
      <c r="C76" s="545">
        <v>1</v>
      </c>
      <c r="D76" s="546">
        <v>5</v>
      </c>
      <c r="E76" s="554" t="s">
        <v>210</v>
      </c>
      <c r="F76" s="566">
        <v>211466</v>
      </c>
      <c r="G76" s="549">
        <v>192566</v>
      </c>
      <c r="H76" s="550">
        <v>1.0981481673815732</v>
      </c>
    </row>
    <row r="77" spans="1:8" ht="12" x14ac:dyDescent="0.15">
      <c r="A77" s="518" t="s">
        <v>185</v>
      </c>
      <c r="B77" s="519" t="s">
        <v>288</v>
      </c>
      <c r="C77" s="520">
        <v>1</v>
      </c>
      <c r="D77" s="521">
        <v>1</v>
      </c>
      <c r="E77" s="542" t="s">
        <v>214</v>
      </c>
      <c r="F77" s="567">
        <v>54291</v>
      </c>
      <c r="G77" s="524">
        <v>49936</v>
      </c>
      <c r="H77" s="525">
        <v>1.0872116308875361</v>
      </c>
    </row>
    <row r="78" spans="1:8" ht="12" x14ac:dyDescent="0.15">
      <c r="A78" s="518"/>
      <c r="B78" s="528" t="s">
        <v>289</v>
      </c>
      <c r="C78" s="529">
        <v>1</v>
      </c>
      <c r="D78" s="530">
        <v>1</v>
      </c>
      <c r="E78" s="531" t="s">
        <v>214</v>
      </c>
      <c r="F78" s="560">
        <v>296700</v>
      </c>
      <c r="G78" s="533">
        <v>311454</v>
      </c>
      <c r="H78" s="534">
        <v>0.95262863857905178</v>
      </c>
    </row>
    <row r="79" spans="1:8" ht="12" x14ac:dyDescent="0.15">
      <c r="A79" s="518"/>
      <c r="B79" s="528" t="s">
        <v>290</v>
      </c>
      <c r="C79" s="529">
        <v>1</v>
      </c>
      <c r="D79" s="530">
        <v>3</v>
      </c>
      <c r="E79" s="543" t="s">
        <v>208</v>
      </c>
      <c r="F79" s="560">
        <v>88763</v>
      </c>
      <c r="G79" s="533">
        <v>77961</v>
      </c>
      <c r="H79" s="534">
        <v>1.1385564577160374</v>
      </c>
    </row>
    <row r="80" spans="1:8" ht="12" x14ac:dyDescent="0.15">
      <c r="A80" s="518"/>
      <c r="B80" s="528" t="s">
        <v>291</v>
      </c>
      <c r="C80" s="529">
        <v>1</v>
      </c>
      <c r="D80" s="530">
        <v>3</v>
      </c>
      <c r="E80" s="543" t="s">
        <v>208</v>
      </c>
      <c r="F80" s="560">
        <v>96531</v>
      </c>
      <c r="G80" s="533">
        <v>79035</v>
      </c>
      <c r="H80" s="534">
        <v>1.2213702789903207</v>
      </c>
    </row>
    <row r="81" spans="1:8" ht="12" x14ac:dyDescent="0.15">
      <c r="A81" s="518"/>
      <c r="B81" s="528" t="s">
        <v>292</v>
      </c>
      <c r="C81" s="529">
        <v>1</v>
      </c>
      <c r="D81" s="530">
        <v>4</v>
      </c>
      <c r="E81" s="543" t="s">
        <v>216</v>
      </c>
      <c r="F81" s="560">
        <v>95505</v>
      </c>
      <c r="G81" s="533">
        <v>93959</v>
      </c>
      <c r="H81" s="534">
        <v>1.0164539852488852</v>
      </c>
    </row>
    <row r="82" spans="1:8" ht="12" x14ac:dyDescent="0.15">
      <c r="A82" s="518"/>
      <c r="B82" s="557" t="s">
        <v>293</v>
      </c>
      <c r="C82" s="558">
        <v>1</v>
      </c>
      <c r="D82" s="559">
        <v>5</v>
      </c>
      <c r="E82" s="531" t="s">
        <v>210</v>
      </c>
      <c r="F82" s="560">
        <v>100353</v>
      </c>
      <c r="G82" s="556">
        <v>104324</v>
      </c>
      <c r="H82" s="534">
        <v>0.96193589202867991</v>
      </c>
    </row>
    <row r="83" spans="1:8" ht="12" x14ac:dyDescent="0.15">
      <c r="A83" s="518"/>
      <c r="B83" s="568" t="s">
        <v>294</v>
      </c>
      <c r="C83" s="563">
        <v>1</v>
      </c>
      <c r="D83" s="564">
        <v>5</v>
      </c>
      <c r="E83" s="531" t="s">
        <v>210</v>
      </c>
      <c r="F83" s="556">
        <v>242780</v>
      </c>
      <c r="G83" s="556">
        <v>251588</v>
      </c>
      <c r="H83" s="534">
        <v>0.9649903810992575</v>
      </c>
    </row>
    <row r="84" spans="1:8" ht="12" x14ac:dyDescent="0.15">
      <c r="A84" s="518"/>
      <c r="B84" s="544" t="s">
        <v>295</v>
      </c>
      <c r="C84" s="545">
        <v>1</v>
      </c>
      <c r="D84" s="546">
        <v>5</v>
      </c>
      <c r="E84" s="554" t="s">
        <v>210</v>
      </c>
      <c r="F84" s="566">
        <v>357940</v>
      </c>
      <c r="G84" s="549" t="s">
        <v>296</v>
      </c>
      <c r="H84" s="550" t="s">
        <v>251</v>
      </c>
    </row>
    <row r="85" spans="1:8" ht="12" x14ac:dyDescent="0.15">
      <c r="A85" s="569" t="s">
        <v>122</v>
      </c>
      <c r="B85" s="570" t="s">
        <v>297</v>
      </c>
      <c r="C85" s="571">
        <v>1</v>
      </c>
      <c r="D85" s="572">
        <v>2</v>
      </c>
      <c r="E85" s="573" t="s">
        <v>230</v>
      </c>
      <c r="F85" s="574">
        <v>69500</v>
      </c>
      <c r="G85" s="575">
        <v>70500</v>
      </c>
      <c r="H85" s="576">
        <v>0.98581560283687941</v>
      </c>
    </row>
    <row r="86" spans="1:8" ht="12" x14ac:dyDescent="0.15">
      <c r="A86" s="518" t="s">
        <v>126</v>
      </c>
      <c r="B86" s="519" t="s">
        <v>298</v>
      </c>
      <c r="C86" s="520">
        <v>1</v>
      </c>
      <c r="D86" s="521">
        <v>3</v>
      </c>
      <c r="E86" s="522" t="s">
        <v>208</v>
      </c>
      <c r="F86" s="567">
        <v>61870</v>
      </c>
      <c r="G86" s="524">
        <v>51030</v>
      </c>
      <c r="H86" s="525">
        <v>1.2124240642759161</v>
      </c>
    </row>
    <row r="87" spans="1:8" ht="12" x14ac:dyDescent="0.15">
      <c r="A87" s="518"/>
      <c r="B87" s="557" t="s">
        <v>299</v>
      </c>
      <c r="C87" s="563">
        <v>1</v>
      </c>
      <c r="D87" s="564">
        <v>3</v>
      </c>
      <c r="E87" s="543" t="s">
        <v>208</v>
      </c>
      <c r="F87" s="556">
        <v>147580</v>
      </c>
      <c r="G87" s="556">
        <v>152620</v>
      </c>
      <c r="H87" s="534">
        <v>0.9669768051369414</v>
      </c>
    </row>
    <row r="88" spans="1:8" ht="12" x14ac:dyDescent="0.15">
      <c r="A88" s="518"/>
      <c r="B88" s="568" t="s">
        <v>300</v>
      </c>
      <c r="C88" s="563">
        <v>1</v>
      </c>
      <c r="D88" s="564">
        <v>4</v>
      </c>
      <c r="E88" s="543" t="s">
        <v>216</v>
      </c>
      <c r="F88" s="556">
        <v>280300</v>
      </c>
      <c r="G88" s="556">
        <v>324180</v>
      </c>
      <c r="H88" s="534">
        <v>0.86464309951261642</v>
      </c>
    </row>
    <row r="89" spans="1:8" ht="12" x14ac:dyDescent="0.15">
      <c r="A89" s="518"/>
      <c r="B89" s="568" t="s">
        <v>301</v>
      </c>
      <c r="C89" s="563">
        <v>1</v>
      </c>
      <c r="D89" s="564">
        <v>1</v>
      </c>
      <c r="E89" s="531" t="s">
        <v>214</v>
      </c>
      <c r="F89" s="556">
        <v>383440</v>
      </c>
      <c r="G89" s="556">
        <v>356510</v>
      </c>
      <c r="H89" s="534">
        <v>1.0755378530756501</v>
      </c>
    </row>
    <row r="90" spans="1:8" ht="12" x14ac:dyDescent="0.15">
      <c r="A90" s="518"/>
      <c r="B90" s="568" t="s">
        <v>302</v>
      </c>
      <c r="C90" s="563">
        <v>1</v>
      </c>
      <c r="D90" s="564">
        <v>1</v>
      </c>
      <c r="E90" s="531" t="s">
        <v>214</v>
      </c>
      <c r="F90" s="556">
        <v>116420</v>
      </c>
      <c r="G90" s="556">
        <v>100770</v>
      </c>
      <c r="H90" s="534">
        <v>1.1553041579835268</v>
      </c>
    </row>
    <row r="91" spans="1:8" ht="12" x14ac:dyDescent="0.15">
      <c r="A91" s="518"/>
      <c r="B91" s="568" t="s">
        <v>303</v>
      </c>
      <c r="C91" s="563">
        <v>1</v>
      </c>
      <c r="D91" s="564">
        <v>2</v>
      </c>
      <c r="E91" s="561" t="s">
        <v>230</v>
      </c>
      <c r="F91" s="556">
        <v>1088733</v>
      </c>
      <c r="G91" s="556">
        <v>908410</v>
      </c>
      <c r="H91" s="534">
        <v>1.1985039794806309</v>
      </c>
    </row>
    <row r="92" spans="1:8" ht="12" x14ac:dyDescent="0.15">
      <c r="A92" s="518"/>
      <c r="B92" s="577" t="s">
        <v>304</v>
      </c>
      <c r="C92" s="578">
        <v>1</v>
      </c>
      <c r="D92" s="579">
        <v>5</v>
      </c>
      <c r="E92" s="554" t="s">
        <v>210</v>
      </c>
      <c r="F92" s="555">
        <v>124010</v>
      </c>
      <c r="G92" s="555">
        <v>125560</v>
      </c>
      <c r="H92" s="550">
        <v>0.98765530423701819</v>
      </c>
    </row>
    <row r="93" spans="1:8" ht="12" x14ac:dyDescent="0.15">
      <c r="A93" s="580" t="s">
        <v>124</v>
      </c>
      <c r="B93" s="581" t="s">
        <v>305</v>
      </c>
      <c r="C93" s="582">
        <v>1</v>
      </c>
      <c r="D93" s="583">
        <v>1</v>
      </c>
      <c r="E93" s="584" t="s">
        <v>214</v>
      </c>
      <c r="F93" s="585">
        <v>277376</v>
      </c>
      <c r="G93" s="585">
        <v>207760</v>
      </c>
      <c r="H93" s="586">
        <v>1.3350789372352714</v>
      </c>
    </row>
    <row r="94" spans="1:8" ht="12" x14ac:dyDescent="0.15">
      <c r="A94" s="587" t="s">
        <v>306</v>
      </c>
      <c r="B94" s="588" t="s">
        <v>307</v>
      </c>
      <c r="C94" s="589">
        <v>1</v>
      </c>
      <c r="D94" s="590">
        <v>3</v>
      </c>
      <c r="E94" s="522" t="s">
        <v>208</v>
      </c>
      <c r="F94" s="591">
        <v>80782</v>
      </c>
      <c r="G94" s="591">
        <v>72166</v>
      </c>
      <c r="H94" s="525">
        <v>1.1193914031538397</v>
      </c>
    </row>
    <row r="95" spans="1:8" ht="12" x14ac:dyDescent="0.15">
      <c r="A95" s="592"/>
      <c r="B95" s="568" t="s">
        <v>308</v>
      </c>
      <c r="C95" s="563">
        <v>2</v>
      </c>
      <c r="D95" s="564">
        <v>1</v>
      </c>
      <c r="E95" s="561" t="s">
        <v>232</v>
      </c>
      <c r="F95" s="556">
        <v>70000</v>
      </c>
      <c r="G95" s="556">
        <v>42000</v>
      </c>
      <c r="H95" s="534">
        <v>1.6666666666666667</v>
      </c>
    </row>
    <row r="96" spans="1:8" ht="12" x14ac:dyDescent="0.15">
      <c r="A96" s="593"/>
      <c r="B96" s="581" t="s">
        <v>309</v>
      </c>
      <c r="C96" s="582"/>
      <c r="D96" s="583"/>
      <c r="E96" s="594" t="s">
        <v>210</v>
      </c>
      <c r="F96" s="585">
        <v>369881</v>
      </c>
      <c r="G96" s="585" t="s">
        <v>310</v>
      </c>
      <c r="H96" s="534" t="s">
        <v>251</v>
      </c>
    </row>
    <row r="97" spans="1:8" ht="12" x14ac:dyDescent="0.15">
      <c r="A97" s="518" t="s">
        <v>311</v>
      </c>
      <c r="B97" s="588" t="s">
        <v>312</v>
      </c>
      <c r="C97" s="589">
        <v>1</v>
      </c>
      <c r="D97" s="590">
        <v>4</v>
      </c>
      <c r="E97" s="522" t="s">
        <v>216</v>
      </c>
      <c r="F97" s="591">
        <v>402793</v>
      </c>
      <c r="G97" s="591">
        <v>371856</v>
      </c>
      <c r="H97" s="525">
        <v>1.0831961834688697</v>
      </c>
    </row>
    <row r="98" spans="1:8" ht="12" x14ac:dyDescent="0.15">
      <c r="A98" s="518"/>
      <c r="B98" s="568" t="s">
        <v>313</v>
      </c>
      <c r="C98" s="563">
        <v>1</v>
      </c>
      <c r="D98" s="564">
        <v>2</v>
      </c>
      <c r="E98" s="561" t="s">
        <v>230</v>
      </c>
      <c r="F98" s="556">
        <v>67803</v>
      </c>
      <c r="G98" s="556">
        <v>46344</v>
      </c>
      <c r="H98" s="534">
        <v>1.463037286380114</v>
      </c>
    </row>
    <row r="99" spans="1:8" ht="12" x14ac:dyDescent="0.15">
      <c r="A99" s="518"/>
      <c r="B99" s="568" t="s">
        <v>314</v>
      </c>
      <c r="C99" s="563">
        <v>2</v>
      </c>
      <c r="D99" s="564">
        <v>1</v>
      </c>
      <c r="E99" s="561" t="s">
        <v>232</v>
      </c>
      <c r="F99" s="556">
        <v>66000</v>
      </c>
      <c r="G99" s="556">
        <v>2550</v>
      </c>
      <c r="H99" s="534">
        <v>25.882352941176471</v>
      </c>
    </row>
    <row r="100" spans="1:8" ht="12" x14ac:dyDescent="0.15">
      <c r="A100" s="518"/>
      <c r="B100" s="568" t="s">
        <v>315</v>
      </c>
      <c r="C100" s="563">
        <v>2</v>
      </c>
      <c r="D100" s="564">
        <v>1</v>
      </c>
      <c r="E100" s="561" t="s">
        <v>232</v>
      </c>
      <c r="F100" s="556">
        <v>280000</v>
      </c>
      <c r="G100" s="556" t="s">
        <v>281</v>
      </c>
      <c r="H100" s="534" t="s">
        <v>251</v>
      </c>
    </row>
    <row r="101" spans="1:8" ht="12" x14ac:dyDescent="0.15">
      <c r="A101" s="518"/>
      <c r="B101" s="568" t="s">
        <v>316</v>
      </c>
      <c r="C101" s="563">
        <v>1</v>
      </c>
      <c r="D101" s="564">
        <v>2</v>
      </c>
      <c r="E101" s="561" t="s">
        <v>230</v>
      </c>
      <c r="F101" s="556">
        <v>71835</v>
      </c>
      <c r="G101" s="556">
        <v>83760</v>
      </c>
      <c r="H101" s="534">
        <v>0.85762893982808019</v>
      </c>
    </row>
    <row r="102" spans="1:8" ht="12" x14ac:dyDescent="0.15">
      <c r="A102" s="518"/>
      <c r="B102" s="568" t="s">
        <v>317</v>
      </c>
      <c r="C102" s="563">
        <v>1</v>
      </c>
      <c r="D102" s="564">
        <v>5</v>
      </c>
      <c r="E102" s="531" t="s">
        <v>210</v>
      </c>
      <c r="F102" s="556">
        <v>321510</v>
      </c>
      <c r="G102" s="556">
        <v>285590</v>
      </c>
      <c r="H102" s="534">
        <v>1.1257747119997199</v>
      </c>
    </row>
    <row r="103" spans="1:8" ht="12" x14ac:dyDescent="0.15">
      <c r="A103" s="518"/>
      <c r="B103" s="568" t="s">
        <v>318</v>
      </c>
      <c r="C103" s="563">
        <v>1</v>
      </c>
      <c r="D103" s="564">
        <v>2</v>
      </c>
      <c r="E103" s="561" t="s">
        <v>230</v>
      </c>
      <c r="F103" s="556">
        <v>104513</v>
      </c>
      <c r="G103" s="556">
        <v>87220</v>
      </c>
      <c r="H103" s="534">
        <v>1.1982687457005274</v>
      </c>
    </row>
    <row r="104" spans="1:8" ht="12" x14ac:dyDescent="0.15">
      <c r="A104" s="518"/>
      <c r="B104" s="568" t="s">
        <v>319</v>
      </c>
      <c r="C104" s="563">
        <v>1</v>
      </c>
      <c r="D104" s="564">
        <v>5</v>
      </c>
      <c r="E104" s="531" t="s">
        <v>210</v>
      </c>
      <c r="F104" s="556">
        <v>1702000</v>
      </c>
      <c r="G104" s="556">
        <v>1057300</v>
      </c>
      <c r="H104" s="534">
        <v>1.6097607112456256</v>
      </c>
    </row>
    <row r="105" spans="1:8" ht="12" x14ac:dyDescent="0.15">
      <c r="A105" s="518"/>
      <c r="B105" s="568" t="s">
        <v>320</v>
      </c>
      <c r="C105" s="563">
        <v>1</v>
      </c>
      <c r="D105" s="564">
        <v>3</v>
      </c>
      <c r="E105" s="543" t="s">
        <v>208</v>
      </c>
      <c r="F105" s="556">
        <v>69450</v>
      </c>
      <c r="G105" s="556">
        <v>62770</v>
      </c>
      <c r="H105" s="534">
        <v>1.1064202644575434</v>
      </c>
    </row>
    <row r="106" spans="1:8" ht="12" x14ac:dyDescent="0.15">
      <c r="A106" s="518"/>
      <c r="B106" s="568" t="s">
        <v>321</v>
      </c>
      <c r="C106" s="563">
        <v>1</v>
      </c>
      <c r="D106" s="564">
        <v>5</v>
      </c>
      <c r="E106" s="531" t="s">
        <v>210</v>
      </c>
      <c r="F106" s="556">
        <v>466000</v>
      </c>
      <c r="G106" s="556">
        <v>424400</v>
      </c>
      <c r="H106" s="534">
        <v>1.0980207351555136</v>
      </c>
    </row>
    <row r="107" spans="1:8" ht="12" x14ac:dyDescent="0.15">
      <c r="A107" s="518"/>
      <c r="B107" s="568" t="s">
        <v>322</v>
      </c>
      <c r="C107" s="563">
        <v>1</v>
      </c>
      <c r="D107" s="564">
        <v>3</v>
      </c>
      <c r="E107" s="543" t="s">
        <v>208</v>
      </c>
      <c r="F107" s="556">
        <v>93501</v>
      </c>
      <c r="G107" s="556">
        <v>83428</v>
      </c>
      <c r="H107" s="534">
        <v>1.1207388406769909</v>
      </c>
    </row>
    <row r="108" spans="1:8" ht="12" x14ac:dyDescent="0.15">
      <c r="A108" s="518"/>
      <c r="B108" s="568" t="s">
        <v>323</v>
      </c>
      <c r="C108" s="563">
        <v>1</v>
      </c>
      <c r="D108" s="564">
        <v>5</v>
      </c>
      <c r="E108" s="531" t="s">
        <v>210</v>
      </c>
      <c r="F108" s="556">
        <v>98822</v>
      </c>
      <c r="G108" s="556">
        <v>97071</v>
      </c>
      <c r="H108" s="534">
        <v>1.0180383430684756</v>
      </c>
    </row>
    <row r="109" spans="1:8" ht="12" x14ac:dyDescent="0.15">
      <c r="A109" s="518"/>
      <c r="B109" s="577" t="s">
        <v>324</v>
      </c>
      <c r="C109" s="578">
        <v>1</v>
      </c>
      <c r="D109" s="579">
        <v>5</v>
      </c>
      <c r="E109" s="554" t="s">
        <v>210</v>
      </c>
      <c r="F109" s="555">
        <v>1029907</v>
      </c>
      <c r="G109" s="555">
        <v>1085368</v>
      </c>
      <c r="H109" s="550">
        <v>0.94890120217290352</v>
      </c>
    </row>
    <row r="110" spans="1:8" ht="12" x14ac:dyDescent="0.15">
      <c r="A110" s="518" t="s">
        <v>325</v>
      </c>
      <c r="B110" s="588" t="s">
        <v>326</v>
      </c>
      <c r="C110" s="589">
        <v>1</v>
      </c>
      <c r="D110" s="590">
        <v>3</v>
      </c>
      <c r="E110" s="522" t="s">
        <v>208</v>
      </c>
      <c r="F110" s="591">
        <v>100638</v>
      </c>
      <c r="G110" s="591">
        <v>92831</v>
      </c>
      <c r="H110" s="525">
        <v>1.0840990617358426</v>
      </c>
    </row>
    <row r="111" spans="1:8" ht="12" x14ac:dyDescent="0.15">
      <c r="A111" s="518"/>
      <c r="B111" s="568" t="s">
        <v>327</v>
      </c>
      <c r="C111" s="563">
        <v>1</v>
      </c>
      <c r="D111" s="564">
        <v>5</v>
      </c>
      <c r="E111" s="531" t="s">
        <v>210</v>
      </c>
      <c r="F111" s="556">
        <v>262858</v>
      </c>
      <c r="G111" s="556">
        <v>200845</v>
      </c>
      <c r="H111" s="534">
        <v>1.3087604869426672</v>
      </c>
    </row>
    <row r="112" spans="1:8" ht="12" x14ac:dyDescent="0.15">
      <c r="A112" s="518"/>
      <c r="B112" s="568" t="s">
        <v>328</v>
      </c>
      <c r="C112" s="563">
        <v>1</v>
      </c>
      <c r="D112" s="564">
        <v>5</v>
      </c>
      <c r="E112" s="531" t="s">
        <v>210</v>
      </c>
      <c r="F112" s="556">
        <v>197155</v>
      </c>
      <c r="G112" s="556">
        <v>188165</v>
      </c>
      <c r="H112" s="534">
        <v>1.0477772168044004</v>
      </c>
    </row>
    <row r="113" spans="1:8" ht="12" x14ac:dyDescent="0.15">
      <c r="A113" s="518"/>
      <c r="B113" s="568" t="s">
        <v>329</v>
      </c>
      <c r="C113" s="563">
        <v>2</v>
      </c>
      <c r="D113" s="564">
        <v>1</v>
      </c>
      <c r="E113" s="561" t="s">
        <v>232</v>
      </c>
      <c r="F113" s="556">
        <v>69000</v>
      </c>
      <c r="G113" s="556" t="s">
        <v>281</v>
      </c>
      <c r="H113" s="534" t="s">
        <v>251</v>
      </c>
    </row>
    <row r="114" spans="1:8" ht="12" x14ac:dyDescent="0.15">
      <c r="A114" s="518"/>
      <c r="B114" s="568" t="s">
        <v>330</v>
      </c>
      <c r="C114" s="563">
        <v>2</v>
      </c>
      <c r="D114" s="564">
        <v>1</v>
      </c>
      <c r="E114" s="561" t="s">
        <v>232</v>
      </c>
      <c r="F114" s="556">
        <v>81010</v>
      </c>
      <c r="G114" s="556" t="s">
        <v>281</v>
      </c>
      <c r="H114" s="534" t="s">
        <v>251</v>
      </c>
    </row>
    <row r="115" spans="1:8" ht="12" x14ac:dyDescent="0.15">
      <c r="A115" s="518"/>
      <c r="B115" s="568" t="s">
        <v>331</v>
      </c>
      <c r="C115" s="563">
        <v>2</v>
      </c>
      <c r="D115" s="564">
        <v>1</v>
      </c>
      <c r="E115" s="561" t="s">
        <v>232</v>
      </c>
      <c r="F115" s="556">
        <v>95688</v>
      </c>
      <c r="G115" s="556">
        <v>1528</v>
      </c>
      <c r="H115" s="534">
        <v>62.623036649214662</v>
      </c>
    </row>
    <row r="116" spans="1:8" ht="12" x14ac:dyDescent="0.15">
      <c r="A116" s="518"/>
      <c r="B116" s="568" t="s">
        <v>332</v>
      </c>
      <c r="C116" s="563">
        <v>1</v>
      </c>
      <c r="D116" s="564">
        <v>6</v>
      </c>
      <c r="E116" s="543" t="s">
        <v>218</v>
      </c>
      <c r="F116" s="556">
        <v>51995</v>
      </c>
      <c r="G116" s="556">
        <v>25838</v>
      </c>
      <c r="H116" s="534">
        <v>2.0123461568232837</v>
      </c>
    </row>
    <row r="117" spans="1:8" ht="12" x14ac:dyDescent="0.15">
      <c r="A117" s="518"/>
      <c r="B117" s="568" t="s">
        <v>333</v>
      </c>
      <c r="C117" s="563">
        <v>1</v>
      </c>
      <c r="D117" s="564">
        <v>5</v>
      </c>
      <c r="E117" s="531" t="s">
        <v>210</v>
      </c>
      <c r="F117" s="556">
        <v>264276</v>
      </c>
      <c r="G117" s="556">
        <v>247130</v>
      </c>
      <c r="H117" s="534">
        <v>1.0693804880022659</v>
      </c>
    </row>
    <row r="118" spans="1:8" ht="12" x14ac:dyDescent="0.15">
      <c r="A118" s="518"/>
      <c r="B118" s="577" t="s">
        <v>334</v>
      </c>
      <c r="C118" s="578">
        <v>1</v>
      </c>
      <c r="D118" s="579">
        <v>3</v>
      </c>
      <c r="E118" s="547" t="s">
        <v>208</v>
      </c>
      <c r="F118" s="555">
        <v>50123</v>
      </c>
      <c r="G118" s="555" t="s">
        <v>335</v>
      </c>
      <c r="H118" s="550" t="s">
        <v>251</v>
      </c>
    </row>
    <row r="119" spans="1:8" ht="12" x14ac:dyDescent="0.15">
      <c r="A119" s="518" t="s">
        <v>336</v>
      </c>
      <c r="B119" s="588" t="s">
        <v>337</v>
      </c>
      <c r="C119" s="589">
        <v>1</v>
      </c>
      <c r="D119" s="590">
        <v>1</v>
      </c>
      <c r="E119" s="542" t="s">
        <v>214</v>
      </c>
      <c r="F119" s="591">
        <v>79300</v>
      </c>
      <c r="G119" s="591">
        <v>71000</v>
      </c>
      <c r="H119" s="525">
        <v>1.1169014084507043</v>
      </c>
    </row>
    <row r="120" spans="1:8" ht="12" x14ac:dyDescent="0.15">
      <c r="A120" s="518"/>
      <c r="B120" s="568" t="s">
        <v>338</v>
      </c>
      <c r="C120" s="563">
        <v>1</v>
      </c>
      <c r="D120" s="564">
        <v>4</v>
      </c>
      <c r="E120" s="543" t="s">
        <v>216</v>
      </c>
      <c r="F120" s="556">
        <v>86090</v>
      </c>
      <c r="G120" s="556">
        <v>60510</v>
      </c>
      <c r="H120" s="534">
        <v>1.4227400429681045</v>
      </c>
    </row>
    <row r="121" spans="1:8" ht="12" x14ac:dyDescent="0.15">
      <c r="A121" s="518"/>
      <c r="B121" s="568" t="s">
        <v>339</v>
      </c>
      <c r="C121" s="563">
        <v>1</v>
      </c>
      <c r="D121" s="564">
        <v>1</v>
      </c>
      <c r="E121" s="531" t="s">
        <v>214</v>
      </c>
      <c r="F121" s="556">
        <v>81300</v>
      </c>
      <c r="G121" s="556">
        <v>73400</v>
      </c>
      <c r="H121" s="534">
        <v>1.1076294277929155</v>
      </c>
    </row>
    <row r="122" spans="1:8" ht="12" x14ac:dyDescent="0.15">
      <c r="A122" s="518"/>
      <c r="B122" s="568" t="s">
        <v>340</v>
      </c>
      <c r="C122" s="563">
        <v>1</v>
      </c>
      <c r="D122" s="564">
        <v>5</v>
      </c>
      <c r="E122" s="531" t="s">
        <v>210</v>
      </c>
      <c r="F122" s="556">
        <v>317210</v>
      </c>
      <c r="G122" s="556">
        <v>284000</v>
      </c>
      <c r="H122" s="534">
        <v>1.1169366197183099</v>
      </c>
    </row>
    <row r="123" spans="1:8" ht="12" x14ac:dyDescent="0.15">
      <c r="A123" s="518"/>
      <c r="B123" s="568" t="s">
        <v>341</v>
      </c>
      <c r="C123" s="563">
        <v>2</v>
      </c>
      <c r="D123" s="564">
        <v>1</v>
      </c>
      <c r="E123" s="561" t="s">
        <v>232</v>
      </c>
      <c r="F123" s="556">
        <v>154000</v>
      </c>
      <c r="G123" s="556" t="s">
        <v>281</v>
      </c>
      <c r="H123" s="534" t="s">
        <v>251</v>
      </c>
    </row>
    <row r="124" spans="1:8" ht="12" x14ac:dyDescent="0.15">
      <c r="A124" s="518"/>
      <c r="B124" s="568" t="s">
        <v>342</v>
      </c>
      <c r="C124" s="563">
        <v>2</v>
      </c>
      <c r="D124" s="564">
        <v>1</v>
      </c>
      <c r="E124" s="561" t="s">
        <v>232</v>
      </c>
      <c r="F124" s="556">
        <v>280750</v>
      </c>
      <c r="G124" s="556" t="s">
        <v>281</v>
      </c>
      <c r="H124" s="534" t="s">
        <v>251</v>
      </c>
    </row>
    <row r="125" spans="1:8" ht="12" x14ac:dyDescent="0.15">
      <c r="A125" s="518"/>
      <c r="B125" s="568" t="s">
        <v>343</v>
      </c>
      <c r="C125" s="563">
        <v>1</v>
      </c>
      <c r="D125" s="564">
        <v>4</v>
      </c>
      <c r="E125" s="543" t="s">
        <v>216</v>
      </c>
      <c r="F125" s="556">
        <v>79550</v>
      </c>
      <c r="G125" s="556">
        <v>64310</v>
      </c>
      <c r="H125" s="534">
        <v>1.2369771419685895</v>
      </c>
    </row>
    <row r="126" spans="1:8" ht="12" x14ac:dyDescent="0.15">
      <c r="A126" s="518"/>
      <c r="B126" s="568" t="s">
        <v>344</v>
      </c>
      <c r="C126" s="563">
        <v>1</v>
      </c>
      <c r="D126" s="564">
        <v>4</v>
      </c>
      <c r="E126" s="543" t="s">
        <v>216</v>
      </c>
      <c r="F126" s="556">
        <v>68440</v>
      </c>
      <c r="G126" s="556">
        <v>50980</v>
      </c>
      <c r="H126" s="534">
        <v>1.3424872499019223</v>
      </c>
    </row>
    <row r="127" spans="1:8" ht="12" x14ac:dyDescent="0.15">
      <c r="A127" s="518"/>
      <c r="B127" s="568" t="s">
        <v>345</v>
      </c>
      <c r="C127" s="563">
        <v>1</v>
      </c>
      <c r="D127" s="564">
        <v>4</v>
      </c>
      <c r="E127" s="543" t="s">
        <v>216</v>
      </c>
      <c r="F127" s="556">
        <v>115560</v>
      </c>
      <c r="G127" s="556">
        <v>89090</v>
      </c>
      <c r="H127" s="534">
        <v>1.2971152766864968</v>
      </c>
    </row>
    <row r="128" spans="1:8" ht="12" x14ac:dyDescent="0.15">
      <c r="A128" s="518"/>
      <c r="B128" s="568" t="s">
        <v>346</v>
      </c>
      <c r="C128" s="563">
        <v>1</v>
      </c>
      <c r="D128" s="564">
        <v>4</v>
      </c>
      <c r="E128" s="543" t="s">
        <v>216</v>
      </c>
      <c r="F128" s="556">
        <v>62760</v>
      </c>
      <c r="G128" s="556">
        <v>57200</v>
      </c>
      <c r="H128" s="534">
        <v>1.0972027972027971</v>
      </c>
    </row>
    <row r="129" spans="1:8" ht="12" x14ac:dyDescent="0.15">
      <c r="A129" s="518"/>
      <c r="B129" s="577" t="s">
        <v>347</v>
      </c>
      <c r="C129" s="578">
        <v>1</v>
      </c>
      <c r="D129" s="579">
        <v>2</v>
      </c>
      <c r="E129" s="565" t="s">
        <v>230</v>
      </c>
      <c r="F129" s="555">
        <v>108230</v>
      </c>
      <c r="G129" s="555">
        <v>87030</v>
      </c>
      <c r="H129" s="550">
        <v>1.2435941629323222</v>
      </c>
    </row>
    <row r="130" spans="1:8" ht="12" x14ac:dyDescent="0.15">
      <c r="A130" s="518" t="s">
        <v>348</v>
      </c>
      <c r="B130" s="588" t="s">
        <v>349</v>
      </c>
      <c r="C130" s="589">
        <v>1</v>
      </c>
      <c r="D130" s="590">
        <v>5</v>
      </c>
      <c r="E130" s="542" t="s">
        <v>210</v>
      </c>
      <c r="F130" s="591">
        <v>60111</v>
      </c>
      <c r="G130" s="591">
        <v>48194</v>
      </c>
      <c r="H130" s="525">
        <v>1.2472714445781632</v>
      </c>
    </row>
    <row r="131" spans="1:8" ht="12" x14ac:dyDescent="0.15">
      <c r="A131" s="518"/>
      <c r="B131" s="568" t="s">
        <v>350</v>
      </c>
      <c r="C131" s="563">
        <v>2</v>
      </c>
      <c r="D131" s="564">
        <v>1</v>
      </c>
      <c r="E131" s="561" t="s">
        <v>232</v>
      </c>
      <c r="F131" s="556">
        <v>74600</v>
      </c>
      <c r="G131" s="556" t="s">
        <v>281</v>
      </c>
      <c r="H131" s="534" t="s">
        <v>251</v>
      </c>
    </row>
    <row r="132" spans="1:8" ht="12" x14ac:dyDescent="0.15">
      <c r="A132" s="518"/>
      <c r="B132" s="577" t="s">
        <v>351</v>
      </c>
      <c r="C132" s="578">
        <v>2</v>
      </c>
      <c r="D132" s="579">
        <v>1</v>
      </c>
      <c r="E132" s="565" t="s">
        <v>232</v>
      </c>
      <c r="F132" s="555">
        <v>140000</v>
      </c>
      <c r="G132" s="555" t="s">
        <v>281</v>
      </c>
      <c r="H132" s="550" t="s">
        <v>251</v>
      </c>
    </row>
    <row r="133" spans="1:8" ht="12" x14ac:dyDescent="0.15">
      <c r="A133" s="518" t="s">
        <v>352</v>
      </c>
      <c r="B133" s="588" t="s">
        <v>353</v>
      </c>
      <c r="C133" s="589">
        <v>1</v>
      </c>
      <c r="D133" s="590">
        <v>3</v>
      </c>
      <c r="E133" s="522" t="s">
        <v>208</v>
      </c>
      <c r="F133" s="591">
        <v>53196</v>
      </c>
      <c r="G133" s="591">
        <v>47017</v>
      </c>
      <c r="H133" s="525">
        <v>1.1314205500138248</v>
      </c>
    </row>
    <row r="134" spans="1:8" ht="12" x14ac:dyDescent="0.15">
      <c r="A134" s="518"/>
      <c r="B134" s="577" t="s">
        <v>354</v>
      </c>
      <c r="C134" s="578">
        <v>1</v>
      </c>
      <c r="D134" s="579">
        <v>4</v>
      </c>
      <c r="E134" s="547" t="s">
        <v>216</v>
      </c>
      <c r="F134" s="555">
        <v>192817</v>
      </c>
      <c r="G134" s="555">
        <v>153302</v>
      </c>
      <c r="H134" s="550">
        <v>1.2577591942701334</v>
      </c>
    </row>
    <row r="135" spans="1:8" ht="12" x14ac:dyDescent="0.15">
      <c r="A135" s="518" t="s">
        <v>355</v>
      </c>
      <c r="B135" s="588" t="s">
        <v>356</v>
      </c>
      <c r="C135" s="589">
        <v>1</v>
      </c>
      <c r="D135" s="590">
        <v>2</v>
      </c>
      <c r="E135" s="595" t="s">
        <v>230</v>
      </c>
      <c r="F135" s="591">
        <v>200354</v>
      </c>
      <c r="G135" s="591">
        <v>181088</v>
      </c>
      <c r="H135" s="525">
        <v>1.1063902632974023</v>
      </c>
    </row>
    <row r="136" spans="1:8" ht="12" x14ac:dyDescent="0.15">
      <c r="A136" s="518"/>
      <c r="B136" s="568" t="s">
        <v>357</v>
      </c>
      <c r="C136" s="563">
        <v>1</v>
      </c>
      <c r="D136" s="564">
        <v>5</v>
      </c>
      <c r="E136" s="531" t="s">
        <v>210</v>
      </c>
      <c r="F136" s="556">
        <v>1036665</v>
      </c>
      <c r="G136" s="556">
        <v>943756</v>
      </c>
      <c r="H136" s="534">
        <v>1.0984459966347233</v>
      </c>
    </row>
    <row r="137" spans="1:8" ht="12" x14ac:dyDescent="0.15">
      <c r="A137" s="518"/>
      <c r="B137" s="577" t="s">
        <v>358</v>
      </c>
      <c r="C137" s="578">
        <v>1</v>
      </c>
      <c r="D137" s="579">
        <v>3</v>
      </c>
      <c r="E137" s="547" t="s">
        <v>208</v>
      </c>
      <c r="F137" s="555">
        <v>175322</v>
      </c>
      <c r="G137" s="555">
        <v>164649</v>
      </c>
      <c r="H137" s="550">
        <v>1.0648227441405658</v>
      </c>
    </row>
    <row r="138" spans="1:8" ht="12" x14ac:dyDescent="0.15">
      <c r="A138" s="518" t="s">
        <v>359</v>
      </c>
      <c r="B138" s="588" t="s">
        <v>360</v>
      </c>
      <c r="C138" s="589">
        <v>1</v>
      </c>
      <c r="D138" s="590">
        <v>3</v>
      </c>
      <c r="E138" s="522" t="s">
        <v>208</v>
      </c>
      <c r="F138" s="591">
        <v>58749</v>
      </c>
      <c r="G138" s="591">
        <v>40663</v>
      </c>
      <c r="H138" s="525">
        <v>1.4447778078351328</v>
      </c>
    </row>
    <row r="139" spans="1:8" ht="12" x14ac:dyDescent="0.15">
      <c r="A139" s="518"/>
      <c r="B139" s="568" t="s">
        <v>361</v>
      </c>
      <c r="C139" s="563">
        <v>1</v>
      </c>
      <c r="D139" s="564">
        <v>3</v>
      </c>
      <c r="E139" s="543" t="s">
        <v>208</v>
      </c>
      <c r="F139" s="556">
        <v>114265</v>
      </c>
      <c r="G139" s="556">
        <v>105185</v>
      </c>
      <c r="H139" s="534">
        <v>1.0863240956410134</v>
      </c>
    </row>
    <row r="140" spans="1:8" ht="12" x14ac:dyDescent="0.15">
      <c r="A140" s="518"/>
      <c r="B140" s="568" t="s">
        <v>362</v>
      </c>
      <c r="C140" s="563">
        <v>1</v>
      </c>
      <c r="D140" s="564">
        <v>1</v>
      </c>
      <c r="E140" s="531" t="s">
        <v>214</v>
      </c>
      <c r="F140" s="556">
        <v>93800</v>
      </c>
      <c r="G140" s="556">
        <v>89300</v>
      </c>
      <c r="H140" s="534">
        <v>1.0503919372900337</v>
      </c>
    </row>
    <row r="141" spans="1:8" ht="12" x14ac:dyDescent="0.15">
      <c r="A141" s="518"/>
      <c r="B141" s="577" t="s">
        <v>363</v>
      </c>
      <c r="C141" s="578">
        <v>1</v>
      </c>
      <c r="D141" s="579">
        <v>5</v>
      </c>
      <c r="E141" s="554" t="s">
        <v>210</v>
      </c>
      <c r="F141" s="555">
        <v>380535</v>
      </c>
      <c r="G141" s="555">
        <v>347225</v>
      </c>
      <c r="H141" s="550">
        <v>1.0959320325437396</v>
      </c>
    </row>
    <row r="142" spans="1:8" ht="12" x14ac:dyDescent="0.15">
      <c r="A142" s="596" t="s">
        <v>364</v>
      </c>
      <c r="B142" s="581" t="s">
        <v>365</v>
      </c>
      <c r="C142" s="582">
        <v>1</v>
      </c>
      <c r="D142" s="583">
        <v>5</v>
      </c>
      <c r="E142" s="584" t="s">
        <v>210</v>
      </c>
      <c r="F142" s="585">
        <v>56025</v>
      </c>
      <c r="G142" s="585">
        <v>54819</v>
      </c>
      <c r="H142" s="586">
        <v>1.0219996716466919</v>
      </c>
    </row>
    <row r="143" spans="1:8" ht="12" x14ac:dyDescent="0.15">
      <c r="A143" s="569" t="s">
        <v>366</v>
      </c>
      <c r="B143" s="597" t="s">
        <v>367</v>
      </c>
      <c r="C143" s="598">
        <v>1</v>
      </c>
      <c r="D143" s="599">
        <v>4</v>
      </c>
      <c r="E143" s="600" t="s">
        <v>216</v>
      </c>
      <c r="F143" s="601">
        <v>187308</v>
      </c>
      <c r="G143" s="601">
        <v>176132</v>
      </c>
      <c r="H143" s="576">
        <v>1.0634524106919809</v>
      </c>
    </row>
    <row r="144" spans="1:8" ht="12" x14ac:dyDescent="0.15">
      <c r="A144" s="518" t="s">
        <v>368</v>
      </c>
      <c r="B144" s="588" t="s">
        <v>369</v>
      </c>
      <c r="C144" s="589">
        <v>1</v>
      </c>
      <c r="D144" s="590">
        <v>5</v>
      </c>
      <c r="E144" s="542" t="s">
        <v>210</v>
      </c>
      <c r="F144" s="591">
        <v>192131</v>
      </c>
      <c r="G144" s="591">
        <v>135108</v>
      </c>
      <c r="H144" s="525">
        <v>1.4220549486336855</v>
      </c>
    </row>
    <row r="145" spans="1:8" ht="12" x14ac:dyDescent="0.15">
      <c r="A145" s="518"/>
      <c r="B145" s="568" t="s">
        <v>370</v>
      </c>
      <c r="C145" s="563">
        <v>1</v>
      </c>
      <c r="D145" s="564">
        <v>1</v>
      </c>
      <c r="E145" s="531" t="s">
        <v>214</v>
      </c>
      <c r="F145" s="556">
        <v>260851</v>
      </c>
      <c r="G145" s="556">
        <v>208200</v>
      </c>
      <c r="H145" s="534">
        <v>1.2528866474543707</v>
      </c>
    </row>
    <row r="146" spans="1:8" ht="12" x14ac:dyDescent="0.15">
      <c r="A146" s="518"/>
      <c r="B146" s="568" t="s">
        <v>371</v>
      </c>
      <c r="C146" s="563">
        <v>1</v>
      </c>
      <c r="D146" s="564">
        <v>3</v>
      </c>
      <c r="E146" s="543" t="s">
        <v>208</v>
      </c>
      <c r="F146" s="556">
        <v>56663</v>
      </c>
      <c r="G146" s="556">
        <v>44086</v>
      </c>
      <c r="H146" s="534">
        <v>1.2852833098942975</v>
      </c>
    </row>
    <row r="147" spans="1:8" ht="12" x14ac:dyDescent="0.15">
      <c r="A147" s="518"/>
      <c r="B147" s="568" t="s">
        <v>372</v>
      </c>
      <c r="C147" s="563">
        <v>1</v>
      </c>
      <c r="D147" s="564">
        <v>2</v>
      </c>
      <c r="E147" s="561" t="s">
        <v>230</v>
      </c>
      <c r="F147" s="556">
        <v>63277</v>
      </c>
      <c r="G147" s="556">
        <v>22355</v>
      </c>
      <c r="H147" s="534">
        <v>2.8305524491165288</v>
      </c>
    </row>
    <row r="148" spans="1:8" ht="12" x14ac:dyDescent="0.15">
      <c r="A148" s="518"/>
      <c r="B148" s="568" t="s">
        <v>373</v>
      </c>
      <c r="C148" s="563">
        <v>1</v>
      </c>
      <c r="D148" s="564">
        <v>5</v>
      </c>
      <c r="E148" s="531" t="s">
        <v>210</v>
      </c>
      <c r="F148" s="556">
        <v>108185</v>
      </c>
      <c r="G148" s="556">
        <v>96878</v>
      </c>
      <c r="H148" s="534">
        <v>1.1167138049918455</v>
      </c>
    </row>
    <row r="149" spans="1:8" ht="12" x14ac:dyDescent="0.15">
      <c r="A149" s="518"/>
      <c r="B149" s="568" t="s">
        <v>374</v>
      </c>
      <c r="C149" s="563">
        <v>1</v>
      </c>
      <c r="D149" s="564">
        <v>1</v>
      </c>
      <c r="E149" s="531" t="s">
        <v>214</v>
      </c>
      <c r="F149" s="556">
        <v>76831</v>
      </c>
      <c r="G149" s="556">
        <v>67102</v>
      </c>
      <c r="H149" s="534">
        <v>1.1449882268784835</v>
      </c>
    </row>
    <row r="150" spans="1:8" ht="12" x14ac:dyDescent="0.15">
      <c r="A150" s="518"/>
      <c r="B150" s="568" t="s">
        <v>375</v>
      </c>
      <c r="C150" s="563">
        <v>2</v>
      </c>
      <c r="D150" s="564">
        <v>1</v>
      </c>
      <c r="E150" s="561" t="s">
        <v>232</v>
      </c>
      <c r="F150" s="556">
        <v>574138</v>
      </c>
      <c r="G150" s="556" t="s">
        <v>376</v>
      </c>
      <c r="H150" s="534" t="s">
        <v>251</v>
      </c>
    </row>
    <row r="151" spans="1:8" ht="12" x14ac:dyDescent="0.15">
      <c r="A151" s="518"/>
      <c r="B151" s="577" t="s">
        <v>377</v>
      </c>
      <c r="C151" s="578">
        <v>1</v>
      </c>
      <c r="D151" s="579">
        <v>2</v>
      </c>
      <c r="E151" s="565" t="s">
        <v>230</v>
      </c>
      <c r="F151" s="555">
        <v>65451</v>
      </c>
      <c r="G151" s="555">
        <v>18587</v>
      </c>
      <c r="H151" s="550">
        <v>3.5213321138430085</v>
      </c>
    </row>
    <row r="152" spans="1:8" ht="12" x14ac:dyDescent="0.15">
      <c r="A152" s="518" t="s">
        <v>152</v>
      </c>
      <c r="B152" s="588" t="s">
        <v>378</v>
      </c>
      <c r="C152" s="589">
        <v>1</v>
      </c>
      <c r="D152" s="590">
        <v>1</v>
      </c>
      <c r="E152" s="542" t="s">
        <v>214</v>
      </c>
      <c r="F152" s="591">
        <v>187881</v>
      </c>
      <c r="G152" s="591">
        <v>94908</v>
      </c>
      <c r="H152" s="525">
        <v>1.9796118346187888</v>
      </c>
    </row>
    <row r="153" spans="1:8" ht="12" x14ac:dyDescent="0.15">
      <c r="A153" s="518"/>
      <c r="B153" s="568" t="s">
        <v>379</v>
      </c>
      <c r="C153" s="563">
        <v>1</v>
      </c>
      <c r="D153" s="564">
        <v>3</v>
      </c>
      <c r="E153" s="543" t="s">
        <v>208</v>
      </c>
      <c r="F153" s="556">
        <v>124901</v>
      </c>
      <c r="G153" s="556">
        <v>86266</v>
      </c>
      <c r="H153" s="534">
        <v>1.4478589479053161</v>
      </c>
    </row>
    <row r="154" spans="1:8" ht="12" x14ac:dyDescent="0.15">
      <c r="A154" s="518"/>
      <c r="B154" s="577" t="s">
        <v>380</v>
      </c>
      <c r="C154" s="578">
        <v>1</v>
      </c>
      <c r="D154" s="579">
        <v>5</v>
      </c>
      <c r="E154" s="554" t="s">
        <v>210</v>
      </c>
      <c r="F154" s="555">
        <v>74460</v>
      </c>
      <c r="G154" s="555">
        <v>51007</v>
      </c>
      <c r="H154" s="550">
        <v>1.4597996353441685</v>
      </c>
    </row>
    <row r="155" spans="1:8" ht="12" x14ac:dyDescent="0.15">
      <c r="A155" s="518" t="s">
        <v>381</v>
      </c>
      <c r="B155" s="588" t="s">
        <v>382</v>
      </c>
      <c r="C155" s="589">
        <v>1</v>
      </c>
      <c r="D155" s="590">
        <v>3</v>
      </c>
      <c r="E155" s="522" t="s">
        <v>208</v>
      </c>
      <c r="F155" s="591">
        <v>451050</v>
      </c>
      <c r="G155" s="591">
        <v>297440</v>
      </c>
      <c r="H155" s="525">
        <v>1.516440290478752</v>
      </c>
    </row>
    <row r="156" spans="1:8" ht="12" x14ac:dyDescent="0.15">
      <c r="A156" s="518"/>
      <c r="B156" s="568" t="s">
        <v>383</v>
      </c>
      <c r="C156" s="563">
        <v>1</v>
      </c>
      <c r="D156" s="564">
        <v>1</v>
      </c>
      <c r="E156" s="531" t="s">
        <v>214</v>
      </c>
      <c r="F156" s="556">
        <v>100110</v>
      </c>
      <c r="G156" s="556">
        <v>68320</v>
      </c>
      <c r="H156" s="534">
        <v>1.4653103044496487</v>
      </c>
    </row>
    <row r="157" spans="1:8" ht="12" x14ac:dyDescent="0.15">
      <c r="A157" s="518"/>
      <c r="B157" s="568" t="s">
        <v>384</v>
      </c>
      <c r="C157" s="563">
        <v>1</v>
      </c>
      <c r="D157" s="564">
        <v>1</v>
      </c>
      <c r="E157" s="531" t="s">
        <v>214</v>
      </c>
      <c r="F157" s="556">
        <v>55600</v>
      </c>
      <c r="G157" s="556">
        <v>44380</v>
      </c>
      <c r="H157" s="534">
        <v>1.2528165840468679</v>
      </c>
    </row>
    <row r="158" spans="1:8" ht="12" x14ac:dyDescent="0.15">
      <c r="A158" s="518"/>
      <c r="B158" s="568" t="s">
        <v>385</v>
      </c>
      <c r="C158" s="563">
        <v>2</v>
      </c>
      <c r="D158" s="564">
        <v>1</v>
      </c>
      <c r="E158" s="561" t="s">
        <v>232</v>
      </c>
      <c r="F158" s="556">
        <v>69000</v>
      </c>
      <c r="G158" s="556">
        <v>35450</v>
      </c>
      <c r="H158" s="534">
        <v>1.9464033850493654</v>
      </c>
    </row>
    <row r="159" spans="1:8" ht="12" x14ac:dyDescent="0.15">
      <c r="A159" s="518"/>
      <c r="B159" s="577" t="s">
        <v>386</v>
      </c>
      <c r="C159" s="578">
        <v>1</v>
      </c>
      <c r="D159" s="579">
        <v>5</v>
      </c>
      <c r="E159" s="554" t="s">
        <v>210</v>
      </c>
      <c r="F159" s="555">
        <v>91230</v>
      </c>
      <c r="G159" s="555">
        <v>74130</v>
      </c>
      <c r="H159" s="550">
        <v>1.2306758397409956</v>
      </c>
    </row>
    <row r="160" spans="1:8" ht="12" x14ac:dyDescent="0.15">
      <c r="A160" s="602" t="s">
        <v>156</v>
      </c>
      <c r="B160" s="588" t="s">
        <v>387</v>
      </c>
      <c r="C160" s="589">
        <v>1</v>
      </c>
      <c r="D160" s="590">
        <v>3</v>
      </c>
      <c r="E160" s="522" t="s">
        <v>208</v>
      </c>
      <c r="F160" s="591">
        <v>54770</v>
      </c>
      <c r="G160" s="591">
        <v>46250</v>
      </c>
      <c r="H160" s="525">
        <v>1.1842162162162162</v>
      </c>
    </row>
    <row r="161" spans="1:8" ht="12" x14ac:dyDescent="0.15">
      <c r="A161" s="602"/>
      <c r="B161" s="568" t="s">
        <v>388</v>
      </c>
      <c r="C161" s="563">
        <v>1</v>
      </c>
      <c r="D161" s="564">
        <v>3</v>
      </c>
      <c r="E161" s="543" t="s">
        <v>208</v>
      </c>
      <c r="F161" s="556">
        <v>50740</v>
      </c>
      <c r="G161" s="556">
        <v>30430</v>
      </c>
      <c r="H161" s="534">
        <v>1.6674334538284588</v>
      </c>
    </row>
    <row r="162" spans="1:8" ht="12" x14ac:dyDescent="0.15">
      <c r="A162" s="602"/>
      <c r="B162" s="568" t="s">
        <v>389</v>
      </c>
      <c r="C162" s="563">
        <v>1</v>
      </c>
      <c r="D162" s="564">
        <v>3</v>
      </c>
      <c r="E162" s="543" t="s">
        <v>208</v>
      </c>
      <c r="F162" s="556">
        <v>65600</v>
      </c>
      <c r="G162" s="556">
        <v>33230</v>
      </c>
      <c r="H162" s="534">
        <v>1.9741197712910021</v>
      </c>
    </row>
    <row r="163" spans="1:8" ht="12" x14ac:dyDescent="0.15">
      <c r="A163" s="602"/>
      <c r="B163" s="568" t="s">
        <v>390</v>
      </c>
      <c r="C163" s="563">
        <v>2</v>
      </c>
      <c r="D163" s="564">
        <v>1</v>
      </c>
      <c r="E163" s="561" t="s">
        <v>232</v>
      </c>
      <c r="F163" s="556">
        <v>50280</v>
      </c>
      <c r="G163" s="556">
        <v>49180</v>
      </c>
      <c r="H163" s="534">
        <v>1.0223668157787718</v>
      </c>
    </row>
    <row r="164" spans="1:8" ht="12" x14ac:dyDescent="0.15">
      <c r="A164" s="602"/>
      <c r="B164" s="568" t="s">
        <v>391</v>
      </c>
      <c r="C164" s="563">
        <v>1</v>
      </c>
      <c r="D164" s="564">
        <v>4</v>
      </c>
      <c r="E164" s="543" t="s">
        <v>216</v>
      </c>
      <c r="F164" s="556">
        <v>151440</v>
      </c>
      <c r="G164" s="556">
        <v>114420</v>
      </c>
      <c r="H164" s="534">
        <v>1.3235448348190875</v>
      </c>
    </row>
    <row r="165" spans="1:8" ht="12" x14ac:dyDescent="0.15">
      <c r="A165" s="602"/>
      <c r="B165" s="577" t="s">
        <v>392</v>
      </c>
      <c r="C165" s="578">
        <v>1</v>
      </c>
      <c r="D165" s="579">
        <v>5</v>
      </c>
      <c r="E165" s="554" t="s">
        <v>210</v>
      </c>
      <c r="F165" s="555">
        <v>410340</v>
      </c>
      <c r="G165" s="555">
        <v>330280</v>
      </c>
      <c r="H165" s="550">
        <v>1.2424003875499576</v>
      </c>
    </row>
    <row r="166" spans="1:8" ht="12" x14ac:dyDescent="0.15">
      <c r="A166" s="602" t="s">
        <v>393</v>
      </c>
      <c r="B166" s="588" t="s">
        <v>394</v>
      </c>
      <c r="C166" s="589">
        <v>2</v>
      </c>
      <c r="D166" s="590">
        <v>1</v>
      </c>
      <c r="E166" s="595" t="s">
        <v>232</v>
      </c>
      <c r="F166" s="591">
        <v>53000</v>
      </c>
      <c r="G166" s="591" t="s">
        <v>281</v>
      </c>
      <c r="H166" s="525" t="s">
        <v>251</v>
      </c>
    </row>
    <row r="167" spans="1:8" ht="12" x14ac:dyDescent="0.15">
      <c r="A167" s="602"/>
      <c r="B167" s="577" t="s">
        <v>395</v>
      </c>
      <c r="C167" s="578">
        <v>1</v>
      </c>
      <c r="D167" s="579">
        <v>4</v>
      </c>
      <c r="E167" s="547" t="s">
        <v>216</v>
      </c>
      <c r="F167" s="555">
        <v>107030</v>
      </c>
      <c r="G167" s="555">
        <v>47740</v>
      </c>
      <c r="H167" s="550">
        <v>2.2419354838709675</v>
      </c>
    </row>
    <row r="168" spans="1:8" ht="12" x14ac:dyDescent="0.15">
      <c r="A168" s="603" t="s">
        <v>396</v>
      </c>
      <c r="B168" s="588" t="s">
        <v>397</v>
      </c>
      <c r="C168" s="589">
        <v>1</v>
      </c>
      <c r="D168" s="590">
        <v>2</v>
      </c>
      <c r="E168" s="595" t="s">
        <v>230</v>
      </c>
      <c r="F168" s="591">
        <v>226243</v>
      </c>
      <c r="G168" s="591">
        <v>209484</v>
      </c>
      <c r="H168" s="525">
        <v>1.0800013366175938</v>
      </c>
    </row>
    <row r="169" spans="1:8" ht="12" x14ac:dyDescent="0.15">
      <c r="A169" s="604"/>
      <c r="B169" s="568" t="s">
        <v>398</v>
      </c>
      <c r="C169" s="563">
        <v>1</v>
      </c>
      <c r="D169" s="564">
        <v>2</v>
      </c>
      <c r="E169" s="561" t="s">
        <v>230</v>
      </c>
      <c r="F169" s="556">
        <v>59205</v>
      </c>
      <c r="G169" s="556">
        <v>54619</v>
      </c>
      <c r="H169" s="534">
        <v>1.0839634559402407</v>
      </c>
    </row>
    <row r="170" spans="1:8" ht="12" x14ac:dyDescent="0.15">
      <c r="A170" s="604"/>
      <c r="B170" s="568" t="s">
        <v>399</v>
      </c>
      <c r="C170" s="563">
        <v>1</v>
      </c>
      <c r="D170" s="564">
        <v>2</v>
      </c>
      <c r="E170" s="561" t="s">
        <v>230</v>
      </c>
      <c r="F170" s="556">
        <v>322921</v>
      </c>
      <c r="G170" s="556">
        <v>243477</v>
      </c>
      <c r="H170" s="534">
        <v>1.3262895468565818</v>
      </c>
    </row>
    <row r="171" spans="1:8" ht="12" x14ac:dyDescent="0.15">
      <c r="A171" s="604"/>
      <c r="B171" s="568" t="s">
        <v>400</v>
      </c>
      <c r="C171" s="563">
        <v>1</v>
      </c>
      <c r="D171" s="564">
        <v>2</v>
      </c>
      <c r="E171" s="561" t="s">
        <v>230</v>
      </c>
      <c r="F171" s="556">
        <v>62645</v>
      </c>
      <c r="G171" s="556">
        <v>61681</v>
      </c>
      <c r="H171" s="534">
        <v>1.0156287997924807</v>
      </c>
    </row>
    <row r="172" spans="1:8" ht="12" x14ac:dyDescent="0.15">
      <c r="A172" s="604"/>
      <c r="B172" s="568" t="s">
        <v>401</v>
      </c>
      <c r="C172" s="563">
        <v>2</v>
      </c>
      <c r="D172" s="564">
        <v>1</v>
      </c>
      <c r="E172" s="561" t="s">
        <v>232</v>
      </c>
      <c r="F172" s="556">
        <v>395000</v>
      </c>
      <c r="G172" s="556">
        <v>200000</v>
      </c>
      <c r="H172" s="534">
        <v>1.9750000000000001</v>
      </c>
    </row>
    <row r="173" spans="1:8" ht="12" x14ac:dyDescent="0.15">
      <c r="A173" s="604"/>
      <c r="B173" s="568" t="s">
        <v>402</v>
      </c>
      <c r="C173" s="563">
        <v>2</v>
      </c>
      <c r="D173" s="564">
        <v>1</v>
      </c>
      <c r="E173" s="561" t="s">
        <v>232</v>
      </c>
      <c r="F173" s="556">
        <v>117000</v>
      </c>
      <c r="G173" s="556" t="s">
        <v>281</v>
      </c>
      <c r="H173" s="534" t="s">
        <v>251</v>
      </c>
    </row>
    <row r="174" spans="1:8" ht="12" x14ac:dyDescent="0.15">
      <c r="A174" s="604"/>
      <c r="B174" s="568" t="s">
        <v>403</v>
      </c>
      <c r="C174" s="563">
        <v>2</v>
      </c>
      <c r="D174" s="564">
        <v>1</v>
      </c>
      <c r="E174" s="561" t="s">
        <v>232</v>
      </c>
      <c r="F174" s="556">
        <v>61000</v>
      </c>
      <c r="G174" s="556">
        <v>7200</v>
      </c>
      <c r="H174" s="534">
        <v>8.4722222222222214</v>
      </c>
    </row>
    <row r="175" spans="1:8" ht="12" x14ac:dyDescent="0.15">
      <c r="A175" s="604"/>
      <c r="B175" s="568" t="s">
        <v>404</v>
      </c>
      <c r="C175" s="563">
        <v>1</v>
      </c>
      <c r="D175" s="564">
        <v>5</v>
      </c>
      <c r="E175" s="531" t="s">
        <v>210</v>
      </c>
      <c r="F175" s="556">
        <v>70509</v>
      </c>
      <c r="G175" s="556">
        <v>68169</v>
      </c>
      <c r="H175" s="534">
        <v>1.0343264533732341</v>
      </c>
    </row>
    <row r="176" spans="1:8" ht="12" x14ac:dyDescent="0.15">
      <c r="A176" s="604"/>
      <c r="B176" s="568" t="s">
        <v>405</v>
      </c>
      <c r="C176" s="563">
        <v>1</v>
      </c>
      <c r="D176" s="564">
        <v>4</v>
      </c>
      <c r="E176" s="543" t="s">
        <v>216</v>
      </c>
      <c r="F176" s="556">
        <v>55470</v>
      </c>
      <c r="G176" s="556">
        <v>48330</v>
      </c>
      <c r="H176" s="534">
        <v>1.1477343265052762</v>
      </c>
    </row>
    <row r="177" spans="1:8" ht="12" x14ac:dyDescent="0.15">
      <c r="A177" s="604"/>
      <c r="B177" s="568" t="s">
        <v>406</v>
      </c>
      <c r="C177" s="563">
        <v>1</v>
      </c>
      <c r="D177" s="564">
        <v>4</v>
      </c>
      <c r="E177" s="543" t="s">
        <v>216</v>
      </c>
      <c r="F177" s="556">
        <v>111943</v>
      </c>
      <c r="G177" s="556">
        <v>96446</v>
      </c>
      <c r="H177" s="534">
        <v>1.1606805881011135</v>
      </c>
    </row>
    <row r="178" spans="1:8" ht="12" x14ac:dyDescent="0.15">
      <c r="A178" s="604"/>
      <c r="B178" s="568" t="s">
        <v>407</v>
      </c>
      <c r="C178" s="563">
        <v>1</v>
      </c>
      <c r="D178" s="564">
        <v>5</v>
      </c>
      <c r="E178" s="531" t="s">
        <v>210</v>
      </c>
      <c r="F178" s="556">
        <v>77311</v>
      </c>
      <c r="G178" s="556">
        <v>76097</v>
      </c>
      <c r="H178" s="534">
        <v>1.0159533227328279</v>
      </c>
    </row>
    <row r="179" spans="1:8" ht="12" x14ac:dyDescent="0.15">
      <c r="A179" s="604"/>
      <c r="B179" s="568" t="s">
        <v>408</v>
      </c>
      <c r="C179" s="563">
        <v>1</v>
      </c>
      <c r="D179" s="564">
        <v>5</v>
      </c>
      <c r="E179" s="531" t="s">
        <v>210</v>
      </c>
      <c r="F179" s="556">
        <v>272160</v>
      </c>
      <c r="G179" s="556">
        <v>230940</v>
      </c>
      <c r="H179" s="534">
        <v>1.1784879189399844</v>
      </c>
    </row>
    <row r="180" spans="1:8" ht="12" x14ac:dyDescent="0.15">
      <c r="A180" s="605"/>
      <c r="B180" s="581" t="s">
        <v>409</v>
      </c>
      <c r="C180" s="582"/>
      <c r="D180" s="583"/>
      <c r="E180" s="584" t="s">
        <v>410</v>
      </c>
      <c r="F180" s="585">
        <v>80541</v>
      </c>
      <c r="G180" s="585">
        <v>56321</v>
      </c>
      <c r="H180" s="586">
        <v>1.4300349780721222</v>
      </c>
    </row>
    <row r="181" spans="1:8" ht="12" x14ac:dyDescent="0.15">
      <c r="A181" s="602" t="s">
        <v>411</v>
      </c>
      <c r="B181" s="588" t="s">
        <v>412</v>
      </c>
      <c r="C181" s="589">
        <v>1</v>
      </c>
      <c r="D181" s="590">
        <v>2</v>
      </c>
      <c r="E181" s="595" t="s">
        <v>230</v>
      </c>
      <c r="F181" s="591">
        <v>88670</v>
      </c>
      <c r="G181" s="591">
        <v>53610</v>
      </c>
      <c r="H181" s="525">
        <v>1.6539824659578437</v>
      </c>
    </row>
    <row r="182" spans="1:8" ht="12" x14ac:dyDescent="0.15">
      <c r="A182" s="602"/>
      <c r="B182" s="568" t="s">
        <v>413</v>
      </c>
      <c r="C182" s="563">
        <v>1</v>
      </c>
      <c r="D182" s="564">
        <v>5</v>
      </c>
      <c r="E182" s="531" t="s">
        <v>210</v>
      </c>
      <c r="F182" s="556">
        <v>391360</v>
      </c>
      <c r="G182" s="556">
        <v>333460</v>
      </c>
      <c r="H182" s="534">
        <v>1.1736340190727523</v>
      </c>
    </row>
    <row r="183" spans="1:8" ht="12" x14ac:dyDescent="0.15">
      <c r="A183" s="602"/>
      <c r="B183" s="568" t="s">
        <v>414</v>
      </c>
      <c r="C183" s="563">
        <v>1</v>
      </c>
      <c r="D183" s="564">
        <v>5</v>
      </c>
      <c r="E183" s="531" t="s">
        <v>210</v>
      </c>
      <c r="F183" s="556">
        <v>207210</v>
      </c>
      <c r="G183" s="556">
        <v>148170</v>
      </c>
      <c r="H183" s="534">
        <v>1.398461226969022</v>
      </c>
    </row>
    <row r="184" spans="1:8" ht="12" x14ac:dyDescent="0.15">
      <c r="A184" s="602"/>
      <c r="B184" s="568" t="s">
        <v>415</v>
      </c>
      <c r="C184" s="563">
        <v>1</v>
      </c>
      <c r="D184" s="564">
        <v>5</v>
      </c>
      <c r="E184" s="531" t="s">
        <v>210</v>
      </c>
      <c r="F184" s="556">
        <v>113660</v>
      </c>
      <c r="G184" s="556">
        <v>100610</v>
      </c>
      <c r="H184" s="534">
        <v>1.1297087764635723</v>
      </c>
    </row>
    <row r="185" spans="1:8" ht="12" x14ac:dyDescent="0.15">
      <c r="A185" s="602"/>
      <c r="B185" s="568" t="s">
        <v>416</v>
      </c>
      <c r="C185" s="563">
        <v>1</v>
      </c>
      <c r="D185" s="564">
        <v>6</v>
      </c>
      <c r="E185" s="543" t="s">
        <v>218</v>
      </c>
      <c r="F185" s="556">
        <v>55350</v>
      </c>
      <c r="G185" s="556">
        <v>54060</v>
      </c>
      <c r="H185" s="534">
        <v>1.0238623751387348</v>
      </c>
    </row>
    <row r="186" spans="1:8" ht="12" x14ac:dyDescent="0.15">
      <c r="A186" s="602"/>
      <c r="B186" s="577" t="s">
        <v>417</v>
      </c>
      <c r="C186" s="578">
        <v>1</v>
      </c>
      <c r="D186" s="579">
        <v>4</v>
      </c>
      <c r="E186" s="547" t="s">
        <v>216</v>
      </c>
      <c r="F186" s="555">
        <v>240850</v>
      </c>
      <c r="G186" s="555">
        <v>243120</v>
      </c>
      <c r="H186" s="550">
        <v>0.99066304705495234</v>
      </c>
    </row>
    <row r="187" spans="1:8" ht="12" x14ac:dyDescent="0.15">
      <c r="A187" s="602" t="s">
        <v>418</v>
      </c>
      <c r="B187" s="588" t="s">
        <v>419</v>
      </c>
      <c r="C187" s="589">
        <v>1</v>
      </c>
      <c r="D187" s="590">
        <v>3</v>
      </c>
      <c r="E187" s="522" t="s">
        <v>208</v>
      </c>
      <c r="F187" s="591">
        <v>482130</v>
      </c>
      <c r="G187" s="591">
        <v>458970</v>
      </c>
      <c r="H187" s="525">
        <v>1.0504608144323158</v>
      </c>
    </row>
    <row r="188" spans="1:8" ht="12" x14ac:dyDescent="0.15">
      <c r="A188" s="602"/>
      <c r="B188" s="568" t="s">
        <v>420</v>
      </c>
      <c r="C188" s="563">
        <v>1</v>
      </c>
      <c r="D188" s="564">
        <v>1</v>
      </c>
      <c r="E188" s="531" t="s">
        <v>214</v>
      </c>
      <c r="F188" s="556">
        <v>89760</v>
      </c>
      <c r="G188" s="556">
        <v>80140</v>
      </c>
      <c r="H188" s="534">
        <v>1.1200399301222861</v>
      </c>
    </row>
    <row r="189" spans="1:8" ht="12" x14ac:dyDescent="0.15">
      <c r="A189" s="602"/>
      <c r="B189" s="568" t="s">
        <v>421</v>
      </c>
      <c r="C189" s="563">
        <v>1</v>
      </c>
      <c r="D189" s="564">
        <v>1</v>
      </c>
      <c r="E189" s="531" t="s">
        <v>214</v>
      </c>
      <c r="F189" s="556">
        <v>54700</v>
      </c>
      <c r="G189" s="556">
        <v>52430</v>
      </c>
      <c r="H189" s="534">
        <v>1.0432958230020981</v>
      </c>
    </row>
    <row r="190" spans="1:8" ht="12" x14ac:dyDescent="0.15">
      <c r="A190" s="602"/>
      <c r="B190" s="568" t="s">
        <v>422</v>
      </c>
      <c r="C190" s="563">
        <v>2</v>
      </c>
      <c r="D190" s="564">
        <v>1</v>
      </c>
      <c r="E190" s="561" t="s">
        <v>232</v>
      </c>
      <c r="F190" s="556">
        <v>130200</v>
      </c>
      <c r="G190" s="556">
        <v>117690</v>
      </c>
      <c r="H190" s="534">
        <v>1.1062962018863114</v>
      </c>
    </row>
    <row r="191" spans="1:8" ht="12" x14ac:dyDescent="0.15">
      <c r="A191" s="602"/>
      <c r="B191" s="568" t="s">
        <v>423</v>
      </c>
      <c r="C191" s="563">
        <v>1</v>
      </c>
      <c r="D191" s="564">
        <v>5</v>
      </c>
      <c r="E191" s="531" t="s">
        <v>210</v>
      </c>
      <c r="F191" s="556">
        <v>2581430</v>
      </c>
      <c r="G191" s="556">
        <v>1936420</v>
      </c>
      <c r="H191" s="534">
        <v>1.3330940601728964</v>
      </c>
    </row>
    <row r="192" spans="1:8" ht="12" x14ac:dyDescent="0.15">
      <c r="A192" s="602"/>
      <c r="B192" s="568" t="s">
        <v>424</v>
      </c>
      <c r="C192" s="563">
        <v>1</v>
      </c>
      <c r="D192" s="564">
        <v>4</v>
      </c>
      <c r="E192" s="543" t="s">
        <v>216</v>
      </c>
      <c r="F192" s="556">
        <v>56160</v>
      </c>
      <c r="G192" s="556">
        <v>37170</v>
      </c>
      <c r="H192" s="534">
        <v>1.5108958837772397</v>
      </c>
    </row>
    <row r="193" spans="1:8" ht="12" x14ac:dyDescent="0.15">
      <c r="A193" s="602"/>
      <c r="B193" s="568" t="s">
        <v>425</v>
      </c>
      <c r="C193" s="563">
        <v>1</v>
      </c>
      <c r="D193" s="564">
        <v>1</v>
      </c>
      <c r="E193" s="531" t="s">
        <v>214</v>
      </c>
      <c r="F193" s="556">
        <v>81020</v>
      </c>
      <c r="G193" s="556">
        <v>72370</v>
      </c>
      <c r="H193" s="534">
        <v>1.1195246649164019</v>
      </c>
    </row>
    <row r="194" spans="1:8" ht="12" x14ac:dyDescent="0.15">
      <c r="A194" s="602"/>
      <c r="B194" s="577" t="s">
        <v>426</v>
      </c>
      <c r="C194" s="578">
        <v>1</v>
      </c>
      <c r="D194" s="579">
        <v>5</v>
      </c>
      <c r="E194" s="554" t="s">
        <v>210</v>
      </c>
      <c r="F194" s="555">
        <v>120700</v>
      </c>
      <c r="G194" s="555">
        <v>120720</v>
      </c>
      <c r="H194" s="550">
        <v>0.99983432736911859</v>
      </c>
    </row>
    <row r="195" spans="1:8" ht="12" x14ac:dyDescent="0.15">
      <c r="A195" s="602" t="s">
        <v>427</v>
      </c>
      <c r="B195" s="588" t="s">
        <v>428</v>
      </c>
      <c r="C195" s="589">
        <v>1</v>
      </c>
      <c r="D195" s="590">
        <v>2</v>
      </c>
      <c r="E195" s="595" t="s">
        <v>230</v>
      </c>
      <c r="F195" s="591">
        <v>120790</v>
      </c>
      <c r="G195" s="591">
        <v>66357</v>
      </c>
      <c r="H195" s="525">
        <v>1.8203053182030531</v>
      </c>
    </row>
    <row r="196" spans="1:8" ht="12" x14ac:dyDescent="0.15">
      <c r="A196" s="602"/>
      <c r="B196" s="577" t="s">
        <v>429</v>
      </c>
      <c r="C196" s="578">
        <v>1</v>
      </c>
      <c r="D196" s="579">
        <v>2</v>
      </c>
      <c r="E196" s="565" t="s">
        <v>230</v>
      </c>
      <c r="F196" s="555">
        <v>106104</v>
      </c>
      <c r="G196" s="555">
        <v>63207</v>
      </c>
      <c r="H196" s="550">
        <v>1.6786748303194265</v>
      </c>
    </row>
  </sheetData>
  <autoFilter ref="A5:H196" xr:uid="{00000000-0009-0000-0000-000000000000}"/>
  <mergeCells count="25">
    <mergeCell ref="A195:A196"/>
    <mergeCell ref="A155:A159"/>
    <mergeCell ref="A160:A165"/>
    <mergeCell ref="A166:A167"/>
    <mergeCell ref="A168:A180"/>
    <mergeCell ref="A181:A186"/>
    <mergeCell ref="A187:A194"/>
    <mergeCell ref="A130:A132"/>
    <mergeCell ref="A133:A134"/>
    <mergeCell ref="A135:A137"/>
    <mergeCell ref="A138:A141"/>
    <mergeCell ref="A144:A151"/>
    <mergeCell ref="A152:A154"/>
    <mergeCell ref="A77:A84"/>
    <mergeCell ref="A86:A92"/>
    <mergeCell ref="A94:A96"/>
    <mergeCell ref="A97:A109"/>
    <mergeCell ref="A110:A118"/>
    <mergeCell ref="A119:A129"/>
    <mergeCell ref="A6:A9"/>
    <mergeCell ref="A10:A14"/>
    <mergeCell ref="A15:A16"/>
    <mergeCell ref="A17:A64"/>
    <mergeCell ref="A65:A72"/>
    <mergeCell ref="A73:A76"/>
  </mergeCells>
  <phoneticPr fontId="2"/>
  <printOptions horizontalCentered="1"/>
  <pageMargins left="0.39370078740157483" right="0.39370078740157483" top="0.59055118110236227" bottom="0.59055118110236227" header="0.51181102362204722" footer="0.19685039370078741"/>
  <pageSetup paperSize="9" firstPageNumber="41" fitToHeight="0" orientation="portrait" useFirstPageNumber="1" r:id="rId1"/>
  <headerFooter alignWithMargins="0">
    <oddFooter>&amp;C&amp;"ＭＳ Ｐ明朝,標準"&amp;12-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F4C7-AECB-471B-8C29-248B83525AEB}">
  <dimension ref="A1:AB22"/>
  <sheetViews>
    <sheetView zoomScale="60" zoomScaleNormal="60" zoomScaleSheetLayoutView="40" zoomScalePageLayoutView="85" workbookViewId="0">
      <selection activeCell="D10" sqref="D10"/>
    </sheetView>
  </sheetViews>
  <sheetFormatPr defaultRowHeight="13.5" x14ac:dyDescent="0.15"/>
  <cols>
    <col min="1" max="1" width="12.75" style="611" customWidth="1"/>
    <col min="2" max="2" width="10.875" style="610" bestFit="1" customWidth="1"/>
    <col min="3" max="3" width="8.75" style="610" customWidth="1"/>
    <col min="4" max="4" width="7.375" style="612" customWidth="1"/>
    <col min="5" max="5" width="8.75" style="610" customWidth="1"/>
    <col min="6" max="6" width="7.375" style="612" customWidth="1"/>
    <col min="7" max="7" width="10.875" style="610" bestFit="1" customWidth="1"/>
    <col min="8" max="8" width="8.75" style="610" customWidth="1"/>
    <col min="9" max="9" width="7.375" style="612" customWidth="1"/>
    <col min="10" max="10" width="8.75" style="610" customWidth="1"/>
    <col min="11" max="11" width="7.375" style="612" customWidth="1"/>
    <col min="12" max="12" width="10.875" style="610" bestFit="1" customWidth="1"/>
    <col min="13" max="13" width="8.75" style="610" customWidth="1"/>
    <col min="14" max="14" width="7.375" style="612" customWidth="1"/>
    <col min="15" max="15" width="8.75" style="610" customWidth="1"/>
    <col min="16" max="16" width="7.375" style="612" customWidth="1"/>
    <col min="17" max="18" width="12" style="610" bestFit="1" customWidth="1"/>
    <col min="19" max="19" width="10.5" style="612" bestFit="1" customWidth="1"/>
    <col min="20" max="20" width="12" style="610" bestFit="1" customWidth="1"/>
    <col min="21" max="21" width="10.5" style="612" bestFit="1" customWidth="1"/>
    <col min="22" max="22" width="12" style="610" bestFit="1" customWidth="1"/>
    <col min="23" max="23" width="10.5" style="610" bestFit="1" customWidth="1"/>
    <col min="24" max="24" width="10.5" style="612" customWidth="1"/>
    <col min="25" max="25" width="10.5" style="610" bestFit="1" customWidth="1"/>
    <col min="26" max="26" width="10.625" style="612" customWidth="1"/>
    <col min="27" max="27" width="16.25" style="612" customWidth="1"/>
    <col min="28" max="28" width="8.5" style="610" customWidth="1"/>
    <col min="29" max="29" width="9" style="610"/>
    <col min="30" max="30" width="6.625" style="610" bestFit="1" customWidth="1"/>
    <col min="31" max="16384" width="9" style="610"/>
  </cols>
  <sheetData>
    <row r="1" spans="1:28" ht="42" x14ac:dyDescent="0.4">
      <c r="A1" s="607" t="s">
        <v>430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9"/>
    </row>
    <row r="2" spans="1:28" ht="21" customHeight="1" x14ac:dyDescent="0.15"/>
    <row r="3" spans="1:28" ht="21" customHeight="1" x14ac:dyDescent="0.15"/>
    <row r="4" spans="1:28" ht="21" customHeight="1" x14ac:dyDescent="0.2">
      <c r="V4" s="613"/>
      <c r="Z4" s="613"/>
      <c r="AA4" s="613" t="s">
        <v>431</v>
      </c>
    </row>
    <row r="5" spans="1:28" s="611" customFormat="1" ht="54" customHeight="1" thickBot="1" x14ac:dyDescent="0.2">
      <c r="A5" s="614" t="s">
        <v>432</v>
      </c>
      <c r="B5" s="615" t="s">
        <v>433</v>
      </c>
      <c r="C5" s="616"/>
      <c r="D5" s="616"/>
      <c r="E5" s="616"/>
      <c r="F5" s="616"/>
      <c r="G5" s="616"/>
      <c r="H5" s="616"/>
      <c r="I5" s="616"/>
      <c r="J5" s="616"/>
      <c r="K5" s="616"/>
      <c r="L5" s="616"/>
      <c r="M5" s="616"/>
      <c r="N5" s="616"/>
      <c r="O5" s="617"/>
      <c r="P5" s="618"/>
      <c r="Q5" s="619"/>
      <c r="R5" s="620" t="s">
        <v>434</v>
      </c>
      <c r="S5" s="620"/>
      <c r="T5" s="620"/>
      <c r="U5" s="620"/>
      <c r="V5" s="620"/>
      <c r="W5" s="620"/>
      <c r="X5" s="620"/>
      <c r="Y5" s="620"/>
      <c r="Z5" s="621"/>
      <c r="AA5" s="622" t="s">
        <v>435</v>
      </c>
    </row>
    <row r="6" spans="1:28" s="611" customFormat="1" ht="57.75" customHeight="1" x14ac:dyDescent="0.15">
      <c r="A6" s="623"/>
      <c r="B6" s="624" t="s">
        <v>436</v>
      </c>
      <c r="C6" s="625"/>
      <c r="D6" s="625"/>
      <c r="E6" s="625"/>
      <c r="F6" s="626"/>
      <c r="G6" s="627" t="s">
        <v>22</v>
      </c>
      <c r="H6" s="628"/>
      <c r="I6" s="628"/>
      <c r="J6" s="628"/>
      <c r="K6" s="628"/>
      <c r="L6" s="628" t="s">
        <v>23</v>
      </c>
      <c r="M6" s="628"/>
      <c r="N6" s="628"/>
      <c r="O6" s="628"/>
      <c r="P6" s="628"/>
      <c r="Q6" s="628" t="s">
        <v>24</v>
      </c>
      <c r="R6" s="628"/>
      <c r="S6" s="628"/>
      <c r="T6" s="628"/>
      <c r="U6" s="628"/>
      <c r="V6" s="628" t="s">
        <v>42</v>
      </c>
      <c r="W6" s="628"/>
      <c r="X6" s="628"/>
      <c r="Y6" s="628"/>
      <c r="Z6" s="628"/>
      <c r="AA6" s="629"/>
    </row>
    <row r="7" spans="1:28" s="611" customFormat="1" ht="54.75" customHeight="1" x14ac:dyDescent="0.15">
      <c r="A7" s="623"/>
      <c r="B7" s="630" t="s">
        <v>437</v>
      </c>
      <c r="C7" s="631" t="s">
        <v>438</v>
      </c>
      <c r="D7" s="631"/>
      <c r="E7" s="632" t="s">
        <v>439</v>
      </c>
      <c r="F7" s="633"/>
      <c r="G7" s="634" t="s">
        <v>437</v>
      </c>
      <c r="H7" s="631" t="s">
        <v>438</v>
      </c>
      <c r="I7" s="631"/>
      <c r="J7" s="631" t="s">
        <v>439</v>
      </c>
      <c r="K7" s="635"/>
      <c r="L7" s="636" t="s">
        <v>437</v>
      </c>
      <c r="M7" s="631" t="s">
        <v>438</v>
      </c>
      <c r="N7" s="631"/>
      <c r="O7" s="631" t="s">
        <v>439</v>
      </c>
      <c r="P7" s="631"/>
      <c r="Q7" s="636" t="s">
        <v>437</v>
      </c>
      <c r="R7" s="631" t="s">
        <v>438</v>
      </c>
      <c r="S7" s="631"/>
      <c r="T7" s="631" t="s">
        <v>439</v>
      </c>
      <c r="U7" s="635"/>
      <c r="V7" s="632" t="s">
        <v>437</v>
      </c>
      <c r="W7" s="631" t="s">
        <v>438</v>
      </c>
      <c r="X7" s="631"/>
      <c r="Y7" s="632" t="s">
        <v>439</v>
      </c>
      <c r="Z7" s="632"/>
      <c r="AA7" s="629"/>
    </row>
    <row r="8" spans="1:28" s="611" customFormat="1" ht="60.75" customHeight="1" x14ac:dyDescent="0.15">
      <c r="A8" s="637"/>
      <c r="B8" s="630"/>
      <c r="C8" s="638" t="s">
        <v>440</v>
      </c>
      <c r="D8" s="639" t="s">
        <v>441</v>
      </c>
      <c r="E8" s="638" t="s">
        <v>440</v>
      </c>
      <c r="F8" s="640" t="s">
        <v>441</v>
      </c>
      <c r="G8" s="641"/>
      <c r="H8" s="638" t="s">
        <v>440</v>
      </c>
      <c r="I8" s="639" t="s">
        <v>441</v>
      </c>
      <c r="J8" s="638" t="s">
        <v>440</v>
      </c>
      <c r="K8" s="639" t="s">
        <v>441</v>
      </c>
      <c r="L8" s="631"/>
      <c r="M8" s="638" t="s">
        <v>440</v>
      </c>
      <c r="N8" s="639" t="s">
        <v>441</v>
      </c>
      <c r="O8" s="638" t="s">
        <v>440</v>
      </c>
      <c r="P8" s="639" t="s">
        <v>441</v>
      </c>
      <c r="Q8" s="631"/>
      <c r="R8" s="638" t="s">
        <v>440</v>
      </c>
      <c r="S8" s="639" t="s">
        <v>441</v>
      </c>
      <c r="T8" s="638" t="s">
        <v>440</v>
      </c>
      <c r="U8" s="639" t="s">
        <v>441</v>
      </c>
      <c r="V8" s="632"/>
      <c r="W8" s="638" t="s">
        <v>440</v>
      </c>
      <c r="X8" s="639" t="s">
        <v>441</v>
      </c>
      <c r="Y8" s="638" t="s">
        <v>440</v>
      </c>
      <c r="Z8" s="639" t="s">
        <v>441</v>
      </c>
      <c r="AA8" s="642"/>
    </row>
    <row r="9" spans="1:28" s="654" customFormat="1" ht="121.5" customHeight="1" x14ac:dyDescent="0.15">
      <c r="A9" s="643" t="s">
        <v>37</v>
      </c>
      <c r="B9" s="644">
        <v>23575.303</v>
      </c>
      <c r="C9" s="645">
        <v>13457.853999999999</v>
      </c>
      <c r="D9" s="646">
        <v>57.084543091556448</v>
      </c>
      <c r="E9" s="647">
        <v>10117.449000000001</v>
      </c>
      <c r="F9" s="648">
        <v>42.915456908443552</v>
      </c>
      <c r="G9" s="649">
        <v>3949.4380000000001</v>
      </c>
      <c r="H9" s="647">
        <v>2560.3249999999998</v>
      </c>
      <c r="I9" s="650">
        <v>64.827577999705269</v>
      </c>
      <c r="J9" s="651">
        <v>1389.1130000000001</v>
      </c>
      <c r="K9" s="650">
        <v>35.172422000294731</v>
      </c>
      <c r="L9" s="647">
        <v>6547.9319999999998</v>
      </c>
      <c r="M9" s="647">
        <v>4181.1959999999999</v>
      </c>
      <c r="N9" s="650">
        <v>63.855214134783324</v>
      </c>
      <c r="O9" s="647">
        <v>2366.7359999999999</v>
      </c>
      <c r="P9" s="650">
        <v>36.144785865216683</v>
      </c>
      <c r="Q9" s="647">
        <v>6878.6589999999997</v>
      </c>
      <c r="R9" s="647">
        <v>3415.6089999999999</v>
      </c>
      <c r="S9" s="650">
        <v>49.655158076596031</v>
      </c>
      <c r="T9" s="647">
        <v>3463.05</v>
      </c>
      <c r="U9" s="650">
        <v>50.344841923403969</v>
      </c>
      <c r="V9" s="647">
        <v>6199.2740000000003</v>
      </c>
      <c r="W9" s="647">
        <v>3300.7240000000002</v>
      </c>
      <c r="X9" s="650">
        <v>53.243718538654683</v>
      </c>
      <c r="Y9" s="647">
        <v>2898.55</v>
      </c>
      <c r="Z9" s="650">
        <v>46.75628146134531</v>
      </c>
      <c r="AA9" s="652" t="s">
        <v>37</v>
      </c>
      <c r="AB9" s="653"/>
    </row>
    <row r="10" spans="1:28" s="654" customFormat="1" ht="121.5" customHeight="1" x14ac:dyDescent="0.15">
      <c r="A10" s="643" t="s">
        <v>15</v>
      </c>
      <c r="B10" s="644">
        <v>13358.111000000001</v>
      </c>
      <c r="C10" s="645">
        <v>10248.273999999999</v>
      </c>
      <c r="D10" s="650">
        <v>76.719485262549469</v>
      </c>
      <c r="E10" s="647">
        <v>3109.837</v>
      </c>
      <c r="F10" s="648">
        <v>23.280514737450524</v>
      </c>
      <c r="G10" s="649">
        <v>1543.759</v>
      </c>
      <c r="H10" s="647">
        <v>1265.8820000000001</v>
      </c>
      <c r="I10" s="650">
        <v>81.999975384758898</v>
      </c>
      <c r="J10" s="651">
        <v>277.87700000000001</v>
      </c>
      <c r="K10" s="650">
        <v>18.000024615241109</v>
      </c>
      <c r="L10" s="647">
        <v>3906.4540000000002</v>
      </c>
      <c r="M10" s="647">
        <v>3348.3890000000001</v>
      </c>
      <c r="N10" s="650">
        <v>85.714282057333833</v>
      </c>
      <c r="O10" s="647">
        <v>558.06500000000005</v>
      </c>
      <c r="P10" s="650">
        <v>14.285717942666162</v>
      </c>
      <c r="Q10" s="647">
        <v>4537.5450000000001</v>
      </c>
      <c r="R10" s="647">
        <v>3106.2379999999998</v>
      </c>
      <c r="S10" s="650">
        <v>68.456356906653255</v>
      </c>
      <c r="T10" s="647">
        <v>1431.307</v>
      </c>
      <c r="U10" s="650">
        <v>31.543643093346734</v>
      </c>
      <c r="V10" s="647">
        <v>3370.3530000000001</v>
      </c>
      <c r="W10" s="647">
        <v>2527.7649999999999</v>
      </c>
      <c r="X10" s="650">
        <v>75.000007417620637</v>
      </c>
      <c r="Y10" s="647">
        <v>842.58799999999997</v>
      </c>
      <c r="Z10" s="650">
        <v>24.999992582379353</v>
      </c>
      <c r="AA10" s="652" t="s">
        <v>15</v>
      </c>
      <c r="AB10" s="653"/>
    </row>
    <row r="11" spans="1:28" s="654" customFormat="1" ht="121.5" customHeight="1" x14ac:dyDescent="0.15">
      <c r="A11" s="643" t="s">
        <v>16</v>
      </c>
      <c r="B11" s="644">
        <v>8551.9779999999992</v>
      </c>
      <c r="C11" s="645">
        <v>1985.5</v>
      </c>
      <c r="D11" s="650">
        <v>23.216851119121216</v>
      </c>
      <c r="E11" s="647">
        <v>6566.4780000000001</v>
      </c>
      <c r="F11" s="648">
        <v>76.783148880878798</v>
      </c>
      <c r="G11" s="649">
        <v>2889.9540000000002</v>
      </c>
      <c r="H11" s="647">
        <v>637.71600000000001</v>
      </c>
      <c r="I11" s="650">
        <v>22.06664881171119</v>
      </c>
      <c r="J11" s="651">
        <v>2252.2379999999998</v>
      </c>
      <c r="K11" s="650">
        <v>77.933351188288796</v>
      </c>
      <c r="L11" s="647">
        <v>1622.702</v>
      </c>
      <c r="M11" s="647">
        <v>442.55500000000001</v>
      </c>
      <c r="N11" s="650">
        <v>27.272721670399125</v>
      </c>
      <c r="O11" s="647">
        <v>1180.1469999999999</v>
      </c>
      <c r="P11" s="650">
        <v>72.727278329600878</v>
      </c>
      <c r="Q11" s="647">
        <v>2144.826</v>
      </c>
      <c r="R11" s="647">
        <v>460.51100000000002</v>
      </c>
      <c r="S11" s="650">
        <v>21.470785975179339</v>
      </c>
      <c r="T11" s="647">
        <v>1684.3150000000001</v>
      </c>
      <c r="U11" s="650">
        <v>78.529214024820661</v>
      </c>
      <c r="V11" s="647">
        <v>1894.4960000000001</v>
      </c>
      <c r="W11" s="647">
        <v>444.71800000000002</v>
      </c>
      <c r="X11" s="650">
        <v>23.474211610898095</v>
      </c>
      <c r="Y11" s="647">
        <v>1449.778</v>
      </c>
      <c r="Z11" s="650">
        <v>76.525788389101905</v>
      </c>
      <c r="AA11" s="652" t="s">
        <v>16</v>
      </c>
      <c r="AB11" s="653"/>
    </row>
    <row r="12" spans="1:28" s="654" customFormat="1" ht="121.5" customHeight="1" x14ac:dyDescent="0.15">
      <c r="A12" s="643" t="s">
        <v>17</v>
      </c>
      <c r="B12" s="644">
        <v>9083.4189999999999</v>
      </c>
      <c r="C12" s="645">
        <v>3435.0680000000002</v>
      </c>
      <c r="D12" s="650">
        <v>37.816905726797366</v>
      </c>
      <c r="E12" s="647">
        <v>5648.3509999999997</v>
      </c>
      <c r="F12" s="648">
        <v>62.183094273202634</v>
      </c>
      <c r="G12" s="649">
        <v>1259.3810000000001</v>
      </c>
      <c r="H12" s="647">
        <v>570.91899999999998</v>
      </c>
      <c r="I12" s="650">
        <v>45.333302630419226</v>
      </c>
      <c r="J12" s="651">
        <v>688.46199999999999</v>
      </c>
      <c r="K12" s="650">
        <v>54.66669736958076</v>
      </c>
      <c r="L12" s="647">
        <v>2665.3119999999999</v>
      </c>
      <c r="M12" s="647">
        <v>1157.059</v>
      </c>
      <c r="N12" s="650">
        <v>43.411765676963896</v>
      </c>
      <c r="O12" s="647">
        <v>1508.2529999999999</v>
      </c>
      <c r="P12" s="650">
        <v>56.588234323036104</v>
      </c>
      <c r="Q12" s="647">
        <v>3198.7669999999998</v>
      </c>
      <c r="R12" s="647">
        <v>1024.605</v>
      </c>
      <c r="S12" s="650">
        <v>32.031248290356878</v>
      </c>
      <c r="T12" s="647">
        <v>2174.1619999999998</v>
      </c>
      <c r="U12" s="650">
        <v>67.968751709643115</v>
      </c>
      <c r="V12" s="647">
        <v>1959.9590000000001</v>
      </c>
      <c r="W12" s="647">
        <v>682.48500000000001</v>
      </c>
      <c r="X12" s="650">
        <v>34.821391671968648</v>
      </c>
      <c r="Y12" s="647">
        <v>1277.4739999999999</v>
      </c>
      <c r="Z12" s="650">
        <v>65.178608328031345</v>
      </c>
      <c r="AA12" s="652" t="s">
        <v>17</v>
      </c>
      <c r="AB12" s="653"/>
    </row>
    <row r="13" spans="1:28" s="654" customFormat="1" ht="121.5" customHeight="1" thickBot="1" x14ac:dyDescent="0.2">
      <c r="A13" s="655" t="s">
        <v>18</v>
      </c>
      <c r="B13" s="644">
        <v>755.96500000000003</v>
      </c>
      <c r="C13" s="645">
        <v>233.214</v>
      </c>
      <c r="D13" s="650">
        <v>30.849840931789167</v>
      </c>
      <c r="E13" s="645">
        <v>522.75099999999998</v>
      </c>
      <c r="F13" s="656">
        <v>69.150159068210826</v>
      </c>
      <c r="G13" s="657">
        <v>43.67</v>
      </c>
      <c r="H13" s="647">
        <v>11.042999999999999</v>
      </c>
      <c r="I13" s="658">
        <v>25.287382642546369</v>
      </c>
      <c r="J13" s="651">
        <v>32.627000000000002</v>
      </c>
      <c r="K13" s="658">
        <v>74.712617357453638</v>
      </c>
      <c r="L13" s="645">
        <v>230.88800000000001</v>
      </c>
      <c r="M13" s="659">
        <v>106.05500000000001</v>
      </c>
      <c r="N13" s="660">
        <v>45.933526211842974</v>
      </c>
      <c r="O13" s="659">
        <v>124.833</v>
      </c>
      <c r="P13" s="660">
        <v>54.066473788157019</v>
      </c>
      <c r="Q13" s="659">
        <v>330.149</v>
      </c>
      <c r="R13" s="659">
        <v>95.49</v>
      </c>
      <c r="S13" s="660">
        <v>28.923304326228461</v>
      </c>
      <c r="T13" s="659">
        <v>234.65899999999999</v>
      </c>
      <c r="U13" s="660">
        <v>71.076695673771539</v>
      </c>
      <c r="V13" s="659">
        <v>151.25800000000001</v>
      </c>
      <c r="W13" s="659">
        <v>20.626000000000001</v>
      </c>
      <c r="X13" s="660">
        <v>39</v>
      </c>
      <c r="Y13" s="659">
        <v>130.63200000000001</v>
      </c>
      <c r="Z13" s="660">
        <v>61</v>
      </c>
      <c r="AA13" s="661" t="s">
        <v>18</v>
      </c>
      <c r="AB13" s="653"/>
    </row>
    <row r="14" spans="1:28" ht="121.5" customHeight="1" thickTop="1" thickBot="1" x14ac:dyDescent="0.2">
      <c r="A14" s="662" t="s">
        <v>436</v>
      </c>
      <c r="B14" s="663">
        <v>55324.775999999998</v>
      </c>
      <c r="C14" s="664">
        <v>29359.91</v>
      </c>
      <c r="D14" s="665">
        <v>53.068285355552092</v>
      </c>
      <c r="E14" s="664">
        <v>25964.866000000002</v>
      </c>
      <c r="F14" s="666">
        <v>46.931714644447908</v>
      </c>
      <c r="G14" s="667">
        <v>9686.2019999999993</v>
      </c>
      <c r="H14" s="668">
        <v>5045.8849999999993</v>
      </c>
      <c r="I14" s="669">
        <v>52.093534700184861</v>
      </c>
      <c r="J14" s="668">
        <v>4640.3170000000009</v>
      </c>
      <c r="K14" s="669">
        <v>47.906465299815153</v>
      </c>
      <c r="L14" s="668">
        <v>14973.288</v>
      </c>
      <c r="M14" s="670">
        <v>9235.2540000000008</v>
      </c>
      <c r="N14" s="671">
        <v>61.678196532384874</v>
      </c>
      <c r="O14" s="670">
        <v>5738.0339999999997</v>
      </c>
      <c r="P14" s="671">
        <v>38.321803467615126</v>
      </c>
      <c r="Q14" s="668">
        <v>17089.946</v>
      </c>
      <c r="R14" s="670">
        <v>8102.4529999999995</v>
      </c>
      <c r="S14" s="671">
        <v>47.410641320926352</v>
      </c>
      <c r="T14" s="670">
        <v>8987.4930000000004</v>
      </c>
      <c r="U14" s="671">
        <v>52.589358679073648</v>
      </c>
      <c r="V14" s="670">
        <v>13575.34</v>
      </c>
      <c r="W14" s="670">
        <v>6976.3179999999993</v>
      </c>
      <c r="X14" s="671">
        <v>51.389637386614254</v>
      </c>
      <c r="Y14" s="670">
        <v>6599.0219999999999</v>
      </c>
      <c r="Z14" s="671">
        <v>48.610362613385746</v>
      </c>
      <c r="AA14" s="672" t="s">
        <v>436</v>
      </c>
      <c r="AB14" s="673"/>
    </row>
    <row r="15" spans="1:28" ht="12" customHeight="1" x14ac:dyDescent="0.15">
      <c r="A15" s="674"/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5"/>
      <c r="N15" s="675"/>
      <c r="O15" s="675"/>
      <c r="P15" s="675"/>
      <c r="Q15" s="675"/>
      <c r="R15" s="675"/>
      <c r="S15" s="675"/>
      <c r="T15" s="675"/>
      <c r="U15" s="675"/>
      <c r="V15" s="675"/>
      <c r="W15" s="675"/>
      <c r="X15" s="675"/>
      <c r="Y15" s="675"/>
      <c r="Z15" s="675"/>
      <c r="AA15" s="675"/>
      <c r="AB15" s="673"/>
    </row>
    <row r="16" spans="1:28" ht="17.25" customHeight="1" x14ac:dyDescent="0.15">
      <c r="A16" s="676" t="s">
        <v>442</v>
      </c>
      <c r="B16" s="676"/>
      <c r="C16" s="676"/>
      <c r="D16" s="676"/>
      <c r="E16" s="676"/>
      <c r="F16" s="676"/>
      <c r="G16" s="676"/>
      <c r="H16" s="676"/>
      <c r="I16" s="676"/>
      <c r="J16" s="676"/>
      <c r="K16" s="676"/>
      <c r="L16" s="676"/>
      <c r="M16" s="676"/>
      <c r="N16" s="676"/>
      <c r="O16" s="676"/>
      <c r="P16" s="676"/>
      <c r="Q16" s="675"/>
      <c r="R16" s="675"/>
      <c r="S16" s="675"/>
      <c r="T16" s="675"/>
      <c r="U16" s="675"/>
      <c r="V16" s="675"/>
      <c r="W16" s="675"/>
      <c r="X16" s="675"/>
      <c r="Y16" s="675"/>
      <c r="Z16" s="675"/>
      <c r="AA16" s="675"/>
      <c r="AB16" s="673"/>
    </row>
    <row r="17" spans="1:28" ht="21" customHeight="1" x14ac:dyDescent="0.15">
      <c r="A17" s="674"/>
      <c r="B17" s="675"/>
      <c r="C17" s="675"/>
      <c r="D17" s="675"/>
      <c r="E17" s="675"/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5"/>
      <c r="T17" s="675"/>
      <c r="U17" s="675"/>
      <c r="V17" s="675"/>
      <c r="W17" s="675"/>
      <c r="X17" s="675"/>
      <c r="Y17" s="675"/>
      <c r="Z17" s="675"/>
      <c r="AA17" s="675"/>
      <c r="AB17" s="673"/>
    </row>
    <row r="18" spans="1:28" ht="21" customHeight="1" x14ac:dyDescent="0.15">
      <c r="A18" s="674"/>
      <c r="B18" s="675"/>
      <c r="C18" s="675"/>
      <c r="D18" s="675"/>
      <c r="E18" s="675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5"/>
      <c r="T18" s="675"/>
      <c r="U18" s="675"/>
      <c r="V18" s="675"/>
      <c r="W18" s="675"/>
      <c r="X18" s="675"/>
      <c r="Y18" s="675"/>
      <c r="Z18" s="675"/>
      <c r="AA18" s="675"/>
      <c r="AB18" s="673"/>
    </row>
    <row r="19" spans="1:28" ht="21" customHeight="1" x14ac:dyDescent="0.15">
      <c r="A19" s="674"/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675"/>
      <c r="AB19" s="673"/>
    </row>
    <row r="20" spans="1:28" ht="21" customHeight="1" x14ac:dyDescent="0.15">
      <c r="A20" s="674"/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75"/>
      <c r="AB20" s="673"/>
    </row>
    <row r="21" spans="1:28" ht="21" customHeight="1" x14ac:dyDescent="0.15">
      <c r="A21" s="674"/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75"/>
      <c r="AB21" s="673"/>
    </row>
    <row r="22" spans="1:28" ht="21" customHeight="1" x14ac:dyDescent="0.15">
      <c r="A22" s="674"/>
      <c r="B22" s="675"/>
      <c r="C22" s="675"/>
      <c r="D22" s="675"/>
      <c r="E22" s="675"/>
      <c r="F22" s="675"/>
      <c r="G22" s="675"/>
      <c r="H22" s="675"/>
      <c r="I22" s="675"/>
      <c r="J22" s="675"/>
      <c r="K22" s="675"/>
      <c r="L22" s="675"/>
      <c r="M22" s="675"/>
      <c r="N22" s="675"/>
      <c r="O22" s="675"/>
      <c r="P22" s="675"/>
      <c r="Q22" s="675"/>
      <c r="R22" s="675"/>
      <c r="S22" s="675"/>
      <c r="T22" s="675"/>
      <c r="U22" s="675"/>
      <c r="V22" s="675"/>
      <c r="W22" s="675"/>
      <c r="X22" s="675"/>
      <c r="Y22" s="675"/>
      <c r="Z22" s="675"/>
      <c r="AA22" s="675"/>
      <c r="AB22" s="673"/>
    </row>
  </sheetData>
  <mergeCells count="26">
    <mergeCell ref="V7:V8"/>
    <mergeCell ref="W7:X7"/>
    <mergeCell ref="Y7:Z7"/>
    <mergeCell ref="A16:P16"/>
    <mergeCell ref="L7:L8"/>
    <mergeCell ref="M7:N7"/>
    <mergeCell ref="O7:P7"/>
    <mergeCell ref="Q7:Q8"/>
    <mergeCell ref="R7:S7"/>
    <mergeCell ref="T7:U7"/>
    <mergeCell ref="B7:B8"/>
    <mergeCell ref="C7:D7"/>
    <mergeCell ref="E7:F7"/>
    <mergeCell ref="G7:G8"/>
    <mergeCell ref="H7:I7"/>
    <mergeCell ref="J7:K7"/>
    <mergeCell ref="A1:P1"/>
    <mergeCell ref="A5:A8"/>
    <mergeCell ref="B5:N5"/>
    <mergeCell ref="R5:Z5"/>
    <mergeCell ref="AA5:AA8"/>
    <mergeCell ref="B6:F6"/>
    <mergeCell ref="G6:K6"/>
    <mergeCell ref="L6:P6"/>
    <mergeCell ref="Q6:U6"/>
    <mergeCell ref="V6:Z6"/>
  </mergeCells>
  <phoneticPr fontId="2"/>
  <printOptions horizontalCentered="1"/>
  <pageMargins left="0.39370078740157483" right="7.874015748031496E-2" top="0.59055118110236227" bottom="0.55118110236220474" header="0.51181102362204722" footer="0.15748031496062992"/>
  <pageSetup paperSize="9" scale="64" firstPageNumber="50" orientation="portrait" useFirstPageNumber="1" r:id="rId1"/>
  <headerFooter differentFirst="1" scaleWithDoc="0" alignWithMargins="0">
    <oddFooter>&amp;C&amp;"ＭＳ 明朝,標準"&amp;12- &amp;P -</oddFooter>
    <firstFooter>&amp;C&amp;"ＭＳ 明朝,標準"&amp;12- &amp;P -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AB21-AC0D-43E5-8DDF-7FECD3EF20E6}">
  <dimension ref="A1:Y23"/>
  <sheetViews>
    <sheetView zoomScale="40" zoomScaleNormal="40" zoomScaleSheetLayoutView="40" zoomScalePageLayoutView="60" workbookViewId="0">
      <selection activeCell="B9" sqref="B9:AA14"/>
    </sheetView>
  </sheetViews>
  <sheetFormatPr defaultRowHeight="13.5" x14ac:dyDescent="0.15"/>
  <cols>
    <col min="1" max="1" width="25.5" style="611" customWidth="1"/>
    <col min="2" max="11" width="20.625" style="610" customWidth="1"/>
    <col min="12" max="12" width="18.125" style="610" customWidth="1"/>
    <col min="13" max="24" width="18.75" style="610" customWidth="1"/>
    <col min="25" max="25" width="20.625" style="611" customWidth="1"/>
    <col min="26" max="16384" width="9" style="610"/>
  </cols>
  <sheetData>
    <row r="1" spans="1:25" ht="32.25" x14ac:dyDescent="0.3">
      <c r="A1" s="607" t="s">
        <v>443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</row>
    <row r="2" spans="1:25" ht="21" customHeight="1" x14ac:dyDescent="0.15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Y2" s="610"/>
    </row>
    <row r="3" spans="1:25" ht="21" customHeight="1" x14ac:dyDescent="0.3">
      <c r="A3" s="678"/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Y3" s="610"/>
    </row>
    <row r="4" spans="1:25" ht="21" customHeight="1" x14ac:dyDescent="0.15"/>
    <row r="5" spans="1:25" ht="21" customHeight="1" x14ac:dyDescent="0.2">
      <c r="F5" s="613"/>
      <c r="X5" s="613"/>
      <c r="Y5" s="613" t="s">
        <v>431</v>
      </c>
    </row>
    <row r="6" spans="1:25" s="682" customFormat="1" ht="68.25" customHeight="1" x14ac:dyDescent="0.2">
      <c r="A6" s="679" t="s">
        <v>444</v>
      </c>
      <c r="B6" s="680" t="s">
        <v>445</v>
      </c>
      <c r="C6" s="680"/>
      <c r="D6" s="680"/>
      <c r="E6" s="680"/>
      <c r="F6" s="680"/>
      <c r="G6" s="680"/>
      <c r="H6" s="680"/>
      <c r="I6" s="680"/>
      <c r="J6" s="680"/>
      <c r="K6" s="680"/>
      <c r="L6" s="680"/>
      <c r="M6" s="680" t="s">
        <v>445</v>
      </c>
      <c r="N6" s="680"/>
      <c r="O6" s="680"/>
      <c r="P6" s="680"/>
      <c r="Q6" s="680"/>
      <c r="R6" s="680"/>
      <c r="S6" s="680"/>
      <c r="T6" s="680"/>
      <c r="U6" s="680"/>
      <c r="V6" s="680"/>
      <c r="W6" s="680"/>
      <c r="X6" s="680"/>
      <c r="Y6" s="681" t="s">
        <v>435</v>
      </c>
    </row>
    <row r="7" spans="1:25" s="682" customFormat="1" ht="56.25" customHeight="1" x14ac:dyDescent="0.2">
      <c r="A7" s="683"/>
      <c r="B7" s="684" t="s">
        <v>437</v>
      </c>
      <c r="C7" s="684" t="s">
        <v>438</v>
      </c>
      <c r="D7" s="685"/>
      <c r="E7" s="686" t="s">
        <v>439</v>
      </c>
      <c r="F7" s="686"/>
      <c r="G7" s="686"/>
      <c r="H7" s="686"/>
      <c r="I7" s="686"/>
      <c r="J7" s="686"/>
      <c r="K7" s="686"/>
      <c r="L7" s="686"/>
      <c r="M7" s="686" t="s">
        <v>439</v>
      </c>
      <c r="N7" s="686"/>
      <c r="O7" s="686"/>
      <c r="P7" s="686"/>
      <c r="Q7" s="686"/>
      <c r="R7" s="686"/>
      <c r="S7" s="686"/>
      <c r="T7" s="686"/>
      <c r="U7" s="686"/>
      <c r="V7" s="686"/>
      <c r="W7" s="686"/>
      <c r="X7" s="686"/>
      <c r="Y7" s="687"/>
    </row>
    <row r="8" spans="1:25" s="682" customFormat="1" ht="56.25" customHeight="1" x14ac:dyDescent="0.2">
      <c r="A8" s="683"/>
      <c r="B8" s="684"/>
      <c r="C8" s="688"/>
      <c r="D8" s="689"/>
      <c r="E8" s="690" t="s">
        <v>446</v>
      </c>
      <c r="F8" s="691"/>
      <c r="G8" s="690" t="s">
        <v>447</v>
      </c>
      <c r="H8" s="691"/>
      <c r="I8" s="690" t="s">
        <v>448</v>
      </c>
      <c r="J8" s="691"/>
      <c r="K8" s="690" t="s">
        <v>449</v>
      </c>
      <c r="L8" s="691"/>
      <c r="M8" s="690" t="s">
        <v>450</v>
      </c>
      <c r="N8" s="691"/>
      <c r="O8" s="690" t="s">
        <v>451</v>
      </c>
      <c r="P8" s="691"/>
      <c r="Q8" s="690" t="s">
        <v>452</v>
      </c>
      <c r="R8" s="691"/>
      <c r="S8" s="690" t="s">
        <v>453</v>
      </c>
      <c r="T8" s="691"/>
      <c r="U8" s="690" t="s">
        <v>454</v>
      </c>
      <c r="V8" s="691"/>
      <c r="W8" s="690" t="s">
        <v>455</v>
      </c>
      <c r="X8" s="691"/>
      <c r="Y8" s="687"/>
    </row>
    <row r="9" spans="1:25" s="682" customFormat="1" ht="72" customHeight="1" x14ac:dyDescent="0.2">
      <c r="A9" s="692"/>
      <c r="B9" s="688"/>
      <c r="C9" s="693" t="s">
        <v>440</v>
      </c>
      <c r="D9" s="694" t="s">
        <v>441</v>
      </c>
      <c r="E9" s="693" t="s">
        <v>440</v>
      </c>
      <c r="F9" s="694" t="s">
        <v>441</v>
      </c>
      <c r="G9" s="693" t="s">
        <v>440</v>
      </c>
      <c r="H9" s="694" t="s">
        <v>441</v>
      </c>
      <c r="I9" s="693" t="s">
        <v>440</v>
      </c>
      <c r="J9" s="694" t="s">
        <v>441</v>
      </c>
      <c r="K9" s="693" t="s">
        <v>440</v>
      </c>
      <c r="L9" s="694" t="s">
        <v>441</v>
      </c>
      <c r="M9" s="693" t="s">
        <v>440</v>
      </c>
      <c r="N9" s="694" t="s">
        <v>441</v>
      </c>
      <c r="O9" s="693" t="s">
        <v>440</v>
      </c>
      <c r="P9" s="694" t="s">
        <v>441</v>
      </c>
      <c r="Q9" s="693" t="s">
        <v>440</v>
      </c>
      <c r="R9" s="694" t="s">
        <v>441</v>
      </c>
      <c r="S9" s="693" t="s">
        <v>440</v>
      </c>
      <c r="T9" s="694" t="s">
        <v>441</v>
      </c>
      <c r="U9" s="693" t="s">
        <v>440</v>
      </c>
      <c r="V9" s="694" t="s">
        <v>441</v>
      </c>
      <c r="W9" s="693" t="s">
        <v>440</v>
      </c>
      <c r="X9" s="694" t="s">
        <v>441</v>
      </c>
      <c r="Y9" s="695"/>
    </row>
    <row r="10" spans="1:25" s="6" customFormat="1" ht="180" customHeight="1" x14ac:dyDescent="0.2">
      <c r="A10" s="696" t="s">
        <v>37</v>
      </c>
      <c r="B10" s="697">
        <v>23575.303</v>
      </c>
      <c r="C10" s="697">
        <v>13457.853999999999</v>
      </c>
      <c r="D10" s="698">
        <v>57.084543091556448</v>
      </c>
      <c r="E10" s="697">
        <v>10117.449000000001</v>
      </c>
      <c r="F10" s="699">
        <v>42.915456908443552</v>
      </c>
      <c r="G10" s="697">
        <v>71.441000000000003</v>
      </c>
      <c r="H10" s="699">
        <v>0.30303322082435169</v>
      </c>
      <c r="I10" s="697">
        <v>1909.2950000000001</v>
      </c>
      <c r="J10" s="699">
        <v>8.0987082117247873</v>
      </c>
      <c r="K10" s="697">
        <v>588.95899999999995</v>
      </c>
      <c r="L10" s="699">
        <v>4.3763218117836615</v>
      </c>
      <c r="M10" s="697">
        <v>5324.8549999999996</v>
      </c>
      <c r="N10" s="699">
        <v>22.586581389855308</v>
      </c>
      <c r="O10" s="697">
        <v>1517.95</v>
      </c>
      <c r="P10" s="699">
        <v>6.4387295467634083</v>
      </c>
      <c r="Q10" s="697">
        <v>660.74400000000003</v>
      </c>
      <c r="R10" s="699">
        <v>2.8026956853958569</v>
      </c>
      <c r="S10" s="697">
        <v>44.203000000000003</v>
      </c>
      <c r="T10" s="699">
        <v>0.18749705995295163</v>
      </c>
      <c r="U10" s="697">
        <v>0</v>
      </c>
      <c r="V10" s="699">
        <v>0</v>
      </c>
      <c r="W10" s="697">
        <v>0</v>
      </c>
      <c r="X10" s="699">
        <v>0</v>
      </c>
      <c r="Y10" s="696" t="s">
        <v>37</v>
      </c>
    </row>
    <row r="11" spans="1:25" s="6" customFormat="1" ht="180" customHeight="1" x14ac:dyDescent="0.2">
      <c r="A11" s="696" t="s">
        <v>15</v>
      </c>
      <c r="B11" s="697">
        <v>13358.111000000001</v>
      </c>
      <c r="C11" s="697">
        <v>10248.273999999999</v>
      </c>
      <c r="D11" s="698">
        <v>76.719485262549469</v>
      </c>
      <c r="E11" s="697">
        <v>3109.837</v>
      </c>
      <c r="F11" s="699">
        <v>23.280514737450524</v>
      </c>
      <c r="G11" s="697">
        <v>0</v>
      </c>
      <c r="H11" s="699">
        <v>0</v>
      </c>
      <c r="I11" s="697">
        <v>541.18499999999995</v>
      </c>
      <c r="J11" s="699">
        <v>4.0513587587346738</v>
      </c>
      <c r="K11" s="697">
        <v>84.837000000000003</v>
      </c>
      <c r="L11" s="699">
        <v>0.82781744516198541</v>
      </c>
      <c r="M11" s="697">
        <v>1841.144</v>
      </c>
      <c r="N11" s="699">
        <v>13.782966768280335</v>
      </c>
      <c r="O11" s="697">
        <v>552.85500000000002</v>
      </c>
      <c r="P11" s="699">
        <v>4.1387214105347683</v>
      </c>
      <c r="Q11" s="697">
        <v>59.362000000000002</v>
      </c>
      <c r="R11" s="699">
        <v>0.44438918047619164</v>
      </c>
      <c r="S11" s="697">
        <v>0</v>
      </c>
      <c r="T11" s="699">
        <v>0</v>
      </c>
      <c r="U11" s="697">
        <v>0</v>
      </c>
      <c r="V11" s="699">
        <v>0</v>
      </c>
      <c r="W11" s="697">
        <v>30.452999999999999</v>
      </c>
      <c r="X11" s="699">
        <v>0.22797385049428018</v>
      </c>
      <c r="Y11" s="696" t="s">
        <v>15</v>
      </c>
    </row>
    <row r="12" spans="1:25" s="6" customFormat="1" ht="180" customHeight="1" x14ac:dyDescent="0.2">
      <c r="A12" s="696" t="s">
        <v>16</v>
      </c>
      <c r="B12" s="697">
        <v>8551.9779999999992</v>
      </c>
      <c r="C12" s="697">
        <v>1985.5</v>
      </c>
      <c r="D12" s="698">
        <v>23.216851119121216</v>
      </c>
      <c r="E12" s="697">
        <v>6566.4780000000001</v>
      </c>
      <c r="F12" s="699">
        <v>76.783148880878798</v>
      </c>
      <c r="G12" s="697">
        <v>0</v>
      </c>
      <c r="H12" s="699">
        <v>0</v>
      </c>
      <c r="I12" s="697">
        <v>112.36</v>
      </c>
      <c r="J12" s="699">
        <v>1.3138480945577737</v>
      </c>
      <c r="K12" s="697">
        <v>32.869999999999997</v>
      </c>
      <c r="L12" s="699">
        <v>1.6555023923444976</v>
      </c>
      <c r="M12" s="697">
        <v>6070.3710000000001</v>
      </c>
      <c r="N12" s="699">
        <v>70.982069879038519</v>
      </c>
      <c r="O12" s="697">
        <v>248.06299999999999</v>
      </c>
      <c r="P12" s="699">
        <v>2.9006505863321914</v>
      </c>
      <c r="Q12" s="697">
        <v>102.815</v>
      </c>
      <c r="R12" s="699">
        <v>1.2022364884474679</v>
      </c>
      <c r="S12" s="697">
        <v>0</v>
      </c>
      <c r="T12" s="699">
        <v>0</v>
      </c>
      <c r="U12" s="697">
        <v>0</v>
      </c>
      <c r="V12" s="699">
        <v>0</v>
      </c>
      <c r="W12" s="697">
        <v>0</v>
      </c>
      <c r="X12" s="699">
        <v>0</v>
      </c>
      <c r="Y12" s="696" t="s">
        <v>16</v>
      </c>
    </row>
    <row r="13" spans="1:25" s="6" customFormat="1" ht="180" customHeight="1" x14ac:dyDescent="0.2">
      <c r="A13" s="696" t="s">
        <v>17</v>
      </c>
      <c r="B13" s="697">
        <v>9083.4189999999999</v>
      </c>
      <c r="C13" s="697">
        <v>3435.0680000000002</v>
      </c>
      <c r="D13" s="698">
        <v>37.816905726797366</v>
      </c>
      <c r="E13" s="697">
        <v>5648.3509999999997</v>
      </c>
      <c r="F13" s="699">
        <v>62.183094273202634</v>
      </c>
      <c r="G13" s="697">
        <v>0</v>
      </c>
      <c r="H13" s="699">
        <v>0</v>
      </c>
      <c r="I13" s="697">
        <v>164.184</v>
      </c>
      <c r="J13" s="699">
        <v>1.807513228223866</v>
      </c>
      <c r="K13" s="697">
        <v>1033.492</v>
      </c>
      <c r="L13" s="699">
        <v>30.086507748900456</v>
      </c>
      <c r="M13" s="697">
        <v>2294.6109999999999</v>
      </c>
      <c r="N13" s="699">
        <v>25.261534230667987</v>
      </c>
      <c r="O13" s="697">
        <v>1667.9349999999999</v>
      </c>
      <c r="P13" s="699">
        <v>18.362413976499379</v>
      </c>
      <c r="Q13" s="697">
        <v>468.13799999999998</v>
      </c>
      <c r="R13" s="699">
        <v>5.1537642378932418</v>
      </c>
      <c r="S13" s="697">
        <v>19.989999999999998</v>
      </c>
      <c r="T13" s="699">
        <v>0.22007131896040463</v>
      </c>
      <c r="U13" s="697">
        <v>0</v>
      </c>
      <c r="V13" s="699">
        <v>0</v>
      </c>
      <c r="W13" s="697">
        <v>0</v>
      </c>
      <c r="X13" s="699">
        <v>0</v>
      </c>
      <c r="Y13" s="696" t="s">
        <v>17</v>
      </c>
    </row>
    <row r="14" spans="1:25" s="6" customFormat="1" ht="180" customHeight="1" thickBot="1" x14ac:dyDescent="0.25">
      <c r="A14" s="700" t="s">
        <v>18</v>
      </c>
      <c r="B14" s="701">
        <v>755.96500000000003</v>
      </c>
      <c r="C14" s="697">
        <v>233.214</v>
      </c>
      <c r="D14" s="702">
        <v>30.849840931789167</v>
      </c>
      <c r="E14" s="697">
        <v>522.75099999999998</v>
      </c>
      <c r="F14" s="703">
        <v>69.150159068210826</v>
      </c>
      <c r="G14" s="697">
        <v>7.117</v>
      </c>
      <c r="H14" s="703">
        <v>0.94144570185127618</v>
      </c>
      <c r="I14" s="697">
        <v>48.625</v>
      </c>
      <c r="J14" s="703">
        <v>6.4321760928085299</v>
      </c>
      <c r="K14" s="697">
        <v>7.6189999999999998</v>
      </c>
      <c r="L14" s="703">
        <v>3.2669565291963605</v>
      </c>
      <c r="M14" s="697">
        <v>308.66500000000002</v>
      </c>
      <c r="N14" s="703">
        <v>40.830594008981898</v>
      </c>
      <c r="O14" s="697">
        <v>73.933000000000007</v>
      </c>
      <c r="P14" s="703">
        <v>9.7799501299663341</v>
      </c>
      <c r="Q14" s="697">
        <v>58.715000000000003</v>
      </c>
      <c r="R14" s="703">
        <v>7.766893969958927</v>
      </c>
      <c r="S14" s="697">
        <v>12.475</v>
      </c>
      <c r="T14" s="703">
        <v>1.6502086736819828</v>
      </c>
      <c r="U14" s="697">
        <v>0</v>
      </c>
      <c r="V14" s="703">
        <v>0</v>
      </c>
      <c r="W14" s="697">
        <v>5.6050000000000004</v>
      </c>
      <c r="X14" s="703">
        <v>0.74143644216332771</v>
      </c>
      <c r="Y14" s="696" t="s">
        <v>18</v>
      </c>
    </row>
    <row r="15" spans="1:25" s="711" customFormat="1" ht="180" customHeight="1" thickTop="1" x14ac:dyDescent="0.2">
      <c r="A15" s="704" t="s">
        <v>436</v>
      </c>
      <c r="B15" s="705">
        <v>55324.775999999998</v>
      </c>
      <c r="C15" s="706">
        <v>29359.91</v>
      </c>
      <c r="D15" s="707">
        <v>53.068285355552092</v>
      </c>
      <c r="E15" s="708">
        <v>25964.866000000002</v>
      </c>
      <c r="F15" s="709">
        <v>46.931714644447908</v>
      </c>
      <c r="G15" s="708">
        <v>78.558000000000007</v>
      </c>
      <c r="H15" s="709">
        <v>0.14199424865271937</v>
      </c>
      <c r="I15" s="708">
        <v>2775.6489999999999</v>
      </c>
      <c r="J15" s="709">
        <v>5.0170090159967389</v>
      </c>
      <c r="K15" s="708">
        <v>1747.777</v>
      </c>
      <c r="L15" s="709">
        <v>5.952937185434152</v>
      </c>
      <c r="M15" s="708">
        <v>15839.646000000001</v>
      </c>
      <c r="N15" s="709">
        <v>28.630293957267899</v>
      </c>
      <c r="O15" s="708">
        <v>4060.7359999999999</v>
      </c>
      <c r="P15" s="709">
        <v>7.3398146248255944</v>
      </c>
      <c r="Q15" s="708">
        <v>1349.7739999999999</v>
      </c>
      <c r="R15" s="709">
        <v>2.4397279078002954</v>
      </c>
      <c r="S15" s="708">
        <v>76.668000000000006</v>
      </c>
      <c r="T15" s="709">
        <v>0.13857805768612602</v>
      </c>
      <c r="U15" s="708">
        <v>0</v>
      </c>
      <c r="V15" s="709">
        <v>0</v>
      </c>
      <c r="W15" s="708">
        <v>36.058</v>
      </c>
      <c r="X15" s="709">
        <v>6.5175139615567534E-2</v>
      </c>
      <c r="Y15" s="710" t="s">
        <v>436</v>
      </c>
    </row>
    <row r="16" spans="1:25" ht="8.25" customHeight="1" x14ac:dyDescent="0.15">
      <c r="A16" s="674"/>
      <c r="B16" s="675"/>
      <c r="C16" s="712"/>
      <c r="D16" s="675"/>
      <c r="E16" s="712"/>
      <c r="F16" s="675"/>
      <c r="G16" s="673"/>
      <c r="I16" s="673"/>
      <c r="K16" s="673"/>
      <c r="M16" s="673"/>
      <c r="O16" s="673"/>
      <c r="Q16" s="673"/>
      <c r="S16" s="673"/>
      <c r="U16" s="673"/>
      <c r="W16" s="673"/>
      <c r="Y16" s="674"/>
    </row>
    <row r="17" spans="1:25" ht="21" customHeight="1" x14ac:dyDescent="0.25">
      <c r="A17" s="713" t="s">
        <v>442</v>
      </c>
      <c r="B17" s="713"/>
      <c r="C17" s="713"/>
      <c r="D17" s="713"/>
      <c r="E17" s="713"/>
      <c r="F17" s="713"/>
      <c r="G17" s="713"/>
      <c r="H17" s="713"/>
      <c r="I17" s="713"/>
      <c r="J17" s="713"/>
      <c r="K17" s="713"/>
      <c r="L17" s="713"/>
      <c r="M17" s="673"/>
      <c r="O17" s="673"/>
      <c r="Q17" s="673"/>
      <c r="S17" s="673"/>
      <c r="U17" s="673"/>
      <c r="W17" s="673"/>
      <c r="Y17" s="674"/>
    </row>
    <row r="18" spans="1:25" ht="21" customHeight="1" x14ac:dyDescent="0.15">
      <c r="A18" s="674"/>
      <c r="B18" s="675"/>
      <c r="C18" s="675"/>
      <c r="D18" s="675"/>
      <c r="E18" s="675"/>
      <c r="F18" s="675"/>
      <c r="G18" s="673"/>
      <c r="I18" s="673"/>
      <c r="K18" s="673"/>
      <c r="M18" s="673"/>
      <c r="O18" s="673"/>
      <c r="Q18" s="673"/>
      <c r="S18" s="673"/>
      <c r="U18" s="673"/>
      <c r="W18" s="673"/>
      <c r="Y18" s="674"/>
    </row>
    <row r="19" spans="1:25" ht="21" customHeight="1" x14ac:dyDescent="0.15">
      <c r="A19" s="674"/>
      <c r="B19" s="675"/>
      <c r="C19" s="675"/>
      <c r="D19" s="675"/>
      <c r="E19" s="675"/>
      <c r="F19" s="675"/>
      <c r="G19" s="673"/>
      <c r="I19" s="673"/>
      <c r="K19" s="673"/>
      <c r="M19" s="673"/>
      <c r="O19" s="673"/>
      <c r="Q19" s="673"/>
      <c r="S19" s="673"/>
      <c r="U19" s="673"/>
      <c r="W19" s="673"/>
      <c r="Y19" s="674"/>
    </row>
    <row r="20" spans="1:25" ht="21" customHeight="1" x14ac:dyDescent="0.15">
      <c r="A20" s="674"/>
      <c r="B20" s="675"/>
      <c r="C20" s="675"/>
      <c r="D20" s="675"/>
      <c r="E20" s="675"/>
      <c r="F20" s="675"/>
      <c r="G20" s="673"/>
      <c r="I20" s="673"/>
      <c r="K20" s="673"/>
      <c r="M20" s="673"/>
      <c r="O20" s="673"/>
      <c r="Q20" s="673"/>
      <c r="S20" s="673"/>
      <c r="U20" s="673"/>
      <c r="W20" s="673"/>
      <c r="Y20" s="674"/>
    </row>
    <row r="21" spans="1:25" ht="21" customHeight="1" x14ac:dyDescent="0.15">
      <c r="A21" s="674"/>
      <c r="B21" s="675"/>
      <c r="C21" s="675"/>
      <c r="D21" s="675"/>
      <c r="E21" s="675"/>
      <c r="F21" s="675"/>
      <c r="G21" s="673"/>
      <c r="I21" s="673"/>
      <c r="K21" s="673"/>
      <c r="M21" s="673"/>
      <c r="O21" s="673"/>
      <c r="Q21" s="673"/>
      <c r="S21" s="673"/>
      <c r="U21" s="673"/>
      <c r="W21" s="673"/>
      <c r="Y21" s="674"/>
    </row>
    <row r="22" spans="1:25" ht="21" customHeight="1" x14ac:dyDescent="0.15">
      <c r="A22" s="674"/>
      <c r="B22" s="675"/>
      <c r="C22" s="675"/>
      <c r="D22" s="675"/>
      <c r="E22" s="675"/>
      <c r="F22" s="675"/>
      <c r="G22" s="673"/>
      <c r="I22" s="673"/>
      <c r="K22" s="673"/>
      <c r="M22" s="673"/>
      <c r="O22" s="673"/>
      <c r="Q22" s="673"/>
      <c r="S22" s="673"/>
      <c r="U22" s="673"/>
      <c r="W22" s="673"/>
      <c r="Y22" s="674"/>
    </row>
    <row r="23" spans="1:25" ht="21" customHeight="1" x14ac:dyDescent="0.15">
      <c r="A23" s="674"/>
      <c r="B23" s="675"/>
      <c r="C23" s="675"/>
      <c r="D23" s="675"/>
      <c r="E23" s="675"/>
      <c r="F23" s="675"/>
      <c r="G23" s="673"/>
      <c r="I23" s="673"/>
      <c r="K23" s="673"/>
      <c r="M23" s="673"/>
      <c r="O23" s="673"/>
      <c r="Q23" s="673"/>
      <c r="S23" s="673"/>
      <c r="U23" s="673"/>
      <c r="W23" s="673"/>
      <c r="Y23" s="674"/>
    </row>
  </sheetData>
  <mergeCells count="20">
    <mergeCell ref="S8:T8"/>
    <mergeCell ref="U8:V8"/>
    <mergeCell ref="W8:X8"/>
    <mergeCell ref="A17:L17"/>
    <mergeCell ref="G8:H8"/>
    <mergeCell ref="I8:J8"/>
    <mergeCell ref="K8:L8"/>
    <mergeCell ref="M8:N8"/>
    <mergeCell ref="O8:P8"/>
    <mergeCell ref="Q8:R8"/>
    <mergeCell ref="A1:L2"/>
    <mergeCell ref="A6:A9"/>
    <mergeCell ref="B6:L6"/>
    <mergeCell ref="M6:X6"/>
    <mergeCell ref="Y6:Y9"/>
    <mergeCell ref="B7:B9"/>
    <mergeCell ref="C7:D8"/>
    <mergeCell ref="E7:L7"/>
    <mergeCell ref="M7:X7"/>
    <mergeCell ref="E8:F8"/>
  </mergeCells>
  <phoneticPr fontId="2"/>
  <printOptions horizontalCentered="1"/>
  <pageMargins left="0.39370078740157483" right="7.874015748031496E-2" top="0.59055118110236227" bottom="0.55118110236220474" header="0.51181102362204722" footer="0.15748031496062992"/>
  <pageSetup paperSize="9" scale="37" firstPageNumber="50" fitToWidth="2" orientation="portrait" useFirstPageNumber="1" r:id="rId1"/>
  <headerFooter differentFirst="1" scaleWithDoc="0" alignWithMargins="0">
    <oddFooter>&amp;C&amp;"ＭＳ 明朝,標準"&amp;12- &amp;P -</oddFooter>
    <firstFooter>&amp;C&amp;"ＭＳ 明朝,標準"&amp;12- &amp;P -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6268-67E2-46E0-B63C-5F754EB2C748}">
  <dimension ref="B1:Z39"/>
  <sheetViews>
    <sheetView zoomScale="40" zoomScaleNormal="40" zoomScaleSheetLayoutView="40" zoomScalePageLayoutView="40" workbookViewId="0">
      <selection activeCell="B9" sqref="B9:AA14"/>
    </sheetView>
  </sheetViews>
  <sheetFormatPr defaultRowHeight="13.5" x14ac:dyDescent="0.15"/>
  <cols>
    <col min="1" max="1" width="11.125" style="610" customWidth="1"/>
    <col min="2" max="2" width="19.5" style="611" customWidth="1"/>
    <col min="3" max="26" width="20.625" style="610" customWidth="1"/>
    <col min="27" max="16384" width="9" style="610"/>
  </cols>
  <sheetData>
    <row r="1" spans="2:26" ht="67.5" customHeight="1" x14ac:dyDescent="0.4">
      <c r="B1" s="607" t="s">
        <v>456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</row>
    <row r="2" spans="2:26" ht="21" customHeight="1" x14ac:dyDescent="0.15"/>
    <row r="3" spans="2:26" ht="21" customHeight="1" x14ac:dyDescent="0.15"/>
    <row r="4" spans="2:26" ht="21" customHeight="1" x14ac:dyDescent="0.2">
      <c r="G4" s="613"/>
      <c r="Y4" s="613"/>
      <c r="Z4" s="613" t="s">
        <v>431</v>
      </c>
    </row>
    <row r="5" spans="2:26" s="682" customFormat="1" ht="55.5" customHeight="1" x14ac:dyDescent="0.2">
      <c r="B5" s="679" t="s">
        <v>444</v>
      </c>
      <c r="C5" s="680" t="s">
        <v>457</v>
      </c>
      <c r="D5" s="680"/>
      <c r="E5" s="680"/>
      <c r="F5" s="680"/>
      <c r="G5" s="680"/>
      <c r="H5" s="680"/>
      <c r="I5" s="680"/>
      <c r="J5" s="680"/>
      <c r="K5" s="680"/>
      <c r="L5" s="680"/>
      <c r="M5" s="680"/>
      <c r="N5" s="680" t="s">
        <v>457</v>
      </c>
      <c r="O5" s="680"/>
      <c r="P5" s="680"/>
      <c r="Q5" s="680"/>
      <c r="R5" s="680"/>
      <c r="S5" s="680"/>
      <c r="T5" s="680"/>
      <c r="U5" s="680"/>
      <c r="V5" s="680"/>
      <c r="W5" s="680"/>
      <c r="X5" s="680"/>
      <c r="Y5" s="680"/>
      <c r="Z5" s="714" t="s">
        <v>435</v>
      </c>
    </row>
    <row r="6" spans="2:26" s="682" customFormat="1" ht="55.5" customHeight="1" x14ac:dyDescent="0.2">
      <c r="B6" s="683"/>
      <c r="C6" s="684" t="s">
        <v>437</v>
      </c>
      <c r="D6" s="684" t="s">
        <v>438</v>
      </c>
      <c r="E6" s="685"/>
      <c r="F6" s="686" t="s">
        <v>439</v>
      </c>
      <c r="G6" s="686"/>
      <c r="H6" s="686"/>
      <c r="I6" s="686"/>
      <c r="J6" s="686"/>
      <c r="K6" s="686"/>
      <c r="L6" s="686"/>
      <c r="M6" s="686"/>
      <c r="N6" s="686" t="s">
        <v>439</v>
      </c>
      <c r="O6" s="686"/>
      <c r="P6" s="686"/>
      <c r="Q6" s="686"/>
      <c r="R6" s="686"/>
      <c r="S6" s="686"/>
      <c r="T6" s="686"/>
      <c r="U6" s="686"/>
      <c r="V6" s="686"/>
      <c r="W6" s="686"/>
      <c r="X6" s="686"/>
      <c r="Y6" s="686"/>
      <c r="Z6" s="715"/>
    </row>
    <row r="7" spans="2:26" s="682" customFormat="1" ht="55.5" customHeight="1" x14ac:dyDescent="0.2">
      <c r="B7" s="683"/>
      <c r="C7" s="684"/>
      <c r="D7" s="688"/>
      <c r="E7" s="689"/>
      <c r="F7" s="690" t="s">
        <v>446</v>
      </c>
      <c r="G7" s="691"/>
      <c r="H7" s="690" t="s">
        <v>447</v>
      </c>
      <c r="I7" s="691"/>
      <c r="J7" s="690" t="s">
        <v>448</v>
      </c>
      <c r="K7" s="691"/>
      <c r="L7" s="690" t="s">
        <v>449</v>
      </c>
      <c r="M7" s="691"/>
      <c r="N7" s="690" t="s">
        <v>450</v>
      </c>
      <c r="O7" s="691"/>
      <c r="P7" s="690" t="s">
        <v>451</v>
      </c>
      <c r="Q7" s="691"/>
      <c r="R7" s="690" t="s">
        <v>452</v>
      </c>
      <c r="S7" s="691"/>
      <c r="T7" s="690" t="s">
        <v>453</v>
      </c>
      <c r="U7" s="691"/>
      <c r="V7" s="690" t="s">
        <v>454</v>
      </c>
      <c r="W7" s="691"/>
      <c r="X7" s="690" t="s">
        <v>455</v>
      </c>
      <c r="Y7" s="691"/>
      <c r="Z7" s="715"/>
    </row>
    <row r="8" spans="2:26" s="682" customFormat="1" ht="55.5" customHeight="1" x14ac:dyDescent="0.2">
      <c r="B8" s="692"/>
      <c r="C8" s="688"/>
      <c r="D8" s="693" t="s">
        <v>440</v>
      </c>
      <c r="E8" s="694" t="s">
        <v>441</v>
      </c>
      <c r="F8" s="693" t="s">
        <v>440</v>
      </c>
      <c r="G8" s="694" t="s">
        <v>441</v>
      </c>
      <c r="H8" s="693" t="s">
        <v>440</v>
      </c>
      <c r="I8" s="694" t="s">
        <v>441</v>
      </c>
      <c r="J8" s="693" t="s">
        <v>440</v>
      </c>
      <c r="K8" s="694" t="s">
        <v>441</v>
      </c>
      <c r="L8" s="693" t="s">
        <v>440</v>
      </c>
      <c r="M8" s="694" t="s">
        <v>441</v>
      </c>
      <c r="N8" s="693" t="s">
        <v>440</v>
      </c>
      <c r="O8" s="694" t="s">
        <v>441</v>
      </c>
      <c r="P8" s="693" t="s">
        <v>440</v>
      </c>
      <c r="Q8" s="694" t="s">
        <v>441</v>
      </c>
      <c r="R8" s="693" t="s">
        <v>440</v>
      </c>
      <c r="S8" s="694" t="s">
        <v>441</v>
      </c>
      <c r="T8" s="693" t="s">
        <v>440</v>
      </c>
      <c r="U8" s="694" t="s">
        <v>441</v>
      </c>
      <c r="V8" s="693" t="s">
        <v>440</v>
      </c>
      <c r="W8" s="694" t="s">
        <v>441</v>
      </c>
      <c r="X8" s="693" t="s">
        <v>440</v>
      </c>
      <c r="Y8" s="694" t="s">
        <v>441</v>
      </c>
      <c r="Z8" s="716"/>
    </row>
    <row r="9" spans="2:26" s="6" customFormat="1" ht="110.1" customHeight="1" x14ac:dyDescent="0.2">
      <c r="B9" s="717" t="s">
        <v>37</v>
      </c>
      <c r="C9" s="718">
        <v>3949.4380000000001</v>
      </c>
      <c r="D9" s="719">
        <v>2560.3249999999998</v>
      </c>
      <c r="E9" s="720">
        <v>64.827577999705269</v>
      </c>
      <c r="F9" s="719">
        <v>1389.1130000000001</v>
      </c>
      <c r="G9" s="720">
        <v>35.172422000294731</v>
      </c>
      <c r="H9" s="719">
        <v>27.238</v>
      </c>
      <c r="I9" s="720">
        <v>0.68966774513234541</v>
      </c>
      <c r="J9" s="719">
        <v>272.375</v>
      </c>
      <c r="K9" s="720">
        <v>6.896550851032476</v>
      </c>
      <c r="L9" s="719">
        <v>27.238</v>
      </c>
      <c r="M9" s="720">
        <v>0.68966774513234541</v>
      </c>
      <c r="N9" s="719">
        <v>680.93799999999999</v>
      </c>
      <c r="O9" s="720">
        <v>17.241389787610288</v>
      </c>
      <c r="P9" s="719">
        <v>299.613</v>
      </c>
      <c r="Q9" s="720">
        <v>7.5862185961648221</v>
      </c>
      <c r="R9" s="719">
        <v>81.712999999999994</v>
      </c>
      <c r="S9" s="720">
        <v>2.0689779153388406</v>
      </c>
      <c r="T9" s="719">
        <v>0</v>
      </c>
      <c r="U9" s="720">
        <v>0</v>
      </c>
      <c r="V9" s="719">
        <v>0</v>
      </c>
      <c r="W9" s="720">
        <v>0</v>
      </c>
      <c r="X9" s="719">
        <v>0</v>
      </c>
      <c r="Y9" s="720">
        <v>0</v>
      </c>
      <c r="Z9" s="717" t="s">
        <v>37</v>
      </c>
    </row>
    <row r="10" spans="2:26" s="6" customFormat="1" ht="110.1" customHeight="1" x14ac:dyDescent="0.2">
      <c r="B10" s="717" t="s">
        <v>15</v>
      </c>
      <c r="C10" s="718">
        <v>1543.759</v>
      </c>
      <c r="D10" s="719">
        <v>1265.8820000000001</v>
      </c>
      <c r="E10" s="720">
        <v>81.999975384758898</v>
      </c>
      <c r="F10" s="719">
        <v>277.87700000000001</v>
      </c>
      <c r="G10" s="720">
        <v>18.000024615241109</v>
      </c>
      <c r="H10" s="719">
        <v>0</v>
      </c>
      <c r="I10" s="720">
        <v>0</v>
      </c>
      <c r="J10" s="719">
        <v>20.584</v>
      </c>
      <c r="K10" s="720">
        <v>1.3333687447328242</v>
      </c>
      <c r="L10" s="719">
        <v>10.292</v>
      </c>
      <c r="M10" s="720">
        <v>0.66668437236641209</v>
      </c>
      <c r="N10" s="719">
        <v>185.251</v>
      </c>
      <c r="O10" s="720">
        <v>11.999994817843977</v>
      </c>
      <c r="P10" s="719">
        <v>61.750999999999998</v>
      </c>
      <c r="Q10" s="720">
        <v>4.0000414572481846</v>
      </c>
      <c r="R10" s="719">
        <v>0</v>
      </c>
      <c r="S10" s="720">
        <v>0</v>
      </c>
      <c r="T10" s="719">
        <v>0</v>
      </c>
      <c r="U10" s="720">
        <v>0</v>
      </c>
      <c r="V10" s="719">
        <v>0</v>
      </c>
      <c r="W10" s="720">
        <v>0</v>
      </c>
      <c r="X10" s="719">
        <v>0</v>
      </c>
      <c r="Y10" s="720">
        <v>0</v>
      </c>
      <c r="Z10" s="717" t="s">
        <v>15</v>
      </c>
    </row>
    <row r="11" spans="2:26" s="6" customFormat="1" ht="110.1" customHeight="1" x14ac:dyDescent="0.2">
      <c r="B11" s="717" t="s">
        <v>16</v>
      </c>
      <c r="C11" s="718">
        <v>2889.9540000000002</v>
      </c>
      <c r="D11" s="719">
        <v>637.71600000000001</v>
      </c>
      <c r="E11" s="720">
        <v>22.06664881171119</v>
      </c>
      <c r="F11" s="719">
        <v>2252.2379999999998</v>
      </c>
      <c r="G11" s="720">
        <v>77.933351188288796</v>
      </c>
      <c r="H11" s="719">
        <v>0</v>
      </c>
      <c r="I11" s="720">
        <v>0</v>
      </c>
      <c r="J11" s="719">
        <v>19.459</v>
      </c>
      <c r="K11" s="720">
        <v>0.67333251671133854</v>
      </c>
      <c r="L11" s="719">
        <v>19.459</v>
      </c>
      <c r="M11" s="720">
        <v>0.67333251671133854</v>
      </c>
      <c r="N11" s="719">
        <v>2077.107</v>
      </c>
      <c r="O11" s="720">
        <v>71.873358537886759</v>
      </c>
      <c r="P11" s="719">
        <v>77.835999999999999</v>
      </c>
      <c r="Q11" s="720">
        <v>2.6933300668453541</v>
      </c>
      <c r="R11" s="719">
        <v>58.377000000000002</v>
      </c>
      <c r="S11" s="720">
        <v>2.0199975501340157</v>
      </c>
      <c r="T11" s="719">
        <v>0</v>
      </c>
      <c r="U11" s="720">
        <v>0</v>
      </c>
      <c r="V11" s="719">
        <v>0</v>
      </c>
      <c r="W11" s="720">
        <v>0</v>
      </c>
      <c r="X11" s="719">
        <v>0</v>
      </c>
      <c r="Y11" s="720">
        <v>0</v>
      </c>
      <c r="Z11" s="717" t="s">
        <v>16</v>
      </c>
    </row>
    <row r="12" spans="2:26" s="6" customFormat="1" ht="110.1" customHeight="1" x14ac:dyDescent="0.2">
      <c r="B12" s="717" t="s">
        <v>17</v>
      </c>
      <c r="C12" s="718">
        <v>1259.3810000000001</v>
      </c>
      <c r="D12" s="719">
        <v>570.91899999999998</v>
      </c>
      <c r="E12" s="720">
        <v>45.333302630419226</v>
      </c>
      <c r="F12" s="719">
        <v>688.46199999999999</v>
      </c>
      <c r="G12" s="720">
        <v>54.66669736958076</v>
      </c>
      <c r="H12" s="719">
        <v>0</v>
      </c>
      <c r="I12" s="720">
        <v>0</v>
      </c>
      <c r="J12" s="719">
        <v>0</v>
      </c>
      <c r="K12" s="720">
        <v>0</v>
      </c>
      <c r="L12" s="719">
        <v>151.125</v>
      </c>
      <c r="M12" s="720">
        <v>11.999942829056497</v>
      </c>
      <c r="N12" s="719">
        <v>302.25200000000001</v>
      </c>
      <c r="O12" s="720">
        <v>24.000044466289392</v>
      </c>
      <c r="P12" s="719">
        <v>134.334</v>
      </c>
      <c r="Q12" s="720">
        <v>10.666668784109017</v>
      </c>
      <c r="R12" s="719">
        <v>100.751</v>
      </c>
      <c r="S12" s="720">
        <v>8.0000412901258624</v>
      </c>
      <c r="T12" s="719">
        <v>0</v>
      </c>
      <c r="U12" s="720">
        <v>0</v>
      </c>
      <c r="V12" s="719">
        <v>0</v>
      </c>
      <c r="W12" s="720">
        <v>0</v>
      </c>
      <c r="X12" s="719">
        <v>0</v>
      </c>
      <c r="Y12" s="720">
        <v>0</v>
      </c>
      <c r="Z12" s="717" t="s">
        <v>17</v>
      </c>
    </row>
    <row r="13" spans="2:26" s="6" customFormat="1" ht="110.1" customHeight="1" thickBot="1" x14ac:dyDescent="0.25">
      <c r="B13" s="721" t="s">
        <v>18</v>
      </c>
      <c r="C13" s="701">
        <v>43.67</v>
      </c>
      <c r="D13" s="697">
        <v>11.042999999999999</v>
      </c>
      <c r="E13" s="722">
        <v>25.287382642546369</v>
      </c>
      <c r="F13" s="697">
        <v>32.627000000000002</v>
      </c>
      <c r="G13" s="722">
        <v>74.712617357453638</v>
      </c>
      <c r="H13" s="697">
        <v>0</v>
      </c>
      <c r="I13" s="722">
        <v>0</v>
      </c>
      <c r="J13" s="697">
        <v>2.008</v>
      </c>
      <c r="K13" s="722">
        <v>4.5981222807419275</v>
      </c>
      <c r="L13" s="697">
        <v>0.502</v>
      </c>
      <c r="M13" s="722">
        <v>1.1495305701854819</v>
      </c>
      <c r="N13" s="701">
        <v>21.082000000000001</v>
      </c>
      <c r="O13" s="722">
        <v>48.275704144721779</v>
      </c>
      <c r="P13" s="697">
        <v>3.012</v>
      </c>
      <c r="Q13" s="722">
        <v>6.8971834211128913</v>
      </c>
      <c r="R13" s="697">
        <v>4.5179999999999998</v>
      </c>
      <c r="S13" s="722">
        <v>10.345775131669336</v>
      </c>
      <c r="T13" s="697">
        <v>1.004</v>
      </c>
      <c r="U13" s="722">
        <v>2.2990611403709638</v>
      </c>
      <c r="V13" s="697">
        <v>0</v>
      </c>
      <c r="W13" s="722">
        <v>0</v>
      </c>
      <c r="X13" s="697">
        <v>0.502</v>
      </c>
      <c r="Y13" s="722">
        <v>1.1495305701854819</v>
      </c>
      <c r="Z13" s="721" t="s">
        <v>18</v>
      </c>
    </row>
    <row r="14" spans="2:26" s="711" customFormat="1" ht="110.1" customHeight="1" thickTop="1" x14ac:dyDescent="0.2">
      <c r="B14" s="723" t="s">
        <v>436</v>
      </c>
      <c r="C14" s="724">
        <v>9686.2019999999993</v>
      </c>
      <c r="D14" s="725">
        <v>5045.8850000000002</v>
      </c>
      <c r="E14" s="726">
        <v>52.093534700184861</v>
      </c>
      <c r="F14" s="725">
        <v>4640.317</v>
      </c>
      <c r="G14" s="726">
        <v>47.906465299815146</v>
      </c>
      <c r="H14" s="725">
        <v>27.238</v>
      </c>
      <c r="I14" s="726">
        <v>0.28120412933779415</v>
      </c>
      <c r="J14" s="725">
        <v>314.42599999999999</v>
      </c>
      <c r="K14" s="726">
        <v>3.2461226804892154</v>
      </c>
      <c r="L14" s="725">
        <v>208.61600000000001</v>
      </c>
      <c r="M14" s="726">
        <v>2.1537440577844653</v>
      </c>
      <c r="N14" s="724">
        <v>3266.63</v>
      </c>
      <c r="O14" s="726">
        <v>33.724570270163682</v>
      </c>
      <c r="P14" s="725">
        <v>576.54600000000005</v>
      </c>
      <c r="Q14" s="726">
        <v>5.9522401040160027</v>
      </c>
      <c r="R14" s="725">
        <v>245.35900000000001</v>
      </c>
      <c r="S14" s="726">
        <v>2.5330774642114631</v>
      </c>
      <c r="T14" s="725">
        <v>1.004</v>
      </c>
      <c r="U14" s="726">
        <v>1.0365259778807008E-2</v>
      </c>
      <c r="V14" s="725">
        <v>0</v>
      </c>
      <c r="W14" s="726">
        <v>0</v>
      </c>
      <c r="X14" s="725">
        <v>0.502</v>
      </c>
      <c r="Y14" s="726">
        <v>5.1826298894035042E-3</v>
      </c>
      <c r="Z14" s="727" t="s">
        <v>436</v>
      </c>
    </row>
    <row r="15" spans="2:26" ht="35.25" customHeight="1" x14ac:dyDescent="0.25">
      <c r="B15" s="728" t="s">
        <v>442</v>
      </c>
      <c r="C15" s="728"/>
      <c r="D15" s="728"/>
      <c r="E15" s="728"/>
      <c r="F15" s="728"/>
      <c r="G15" s="728"/>
      <c r="H15" s="728"/>
      <c r="I15" s="728"/>
      <c r="J15" s="728"/>
      <c r="K15" s="728"/>
      <c r="L15" s="728"/>
      <c r="M15" s="728"/>
    </row>
    <row r="16" spans="2:26" ht="50.25" customHeight="1" x14ac:dyDescent="0.15"/>
    <row r="17" spans="2:26" ht="50.25" customHeight="1" x14ac:dyDescent="0.15"/>
    <row r="18" spans="2:26" ht="60.75" customHeight="1" x14ac:dyDescent="0.4">
      <c r="B18" s="607" t="s">
        <v>458</v>
      </c>
      <c r="C18" s="607"/>
      <c r="D18" s="607"/>
      <c r="E18" s="607"/>
      <c r="F18" s="607"/>
      <c r="G18" s="607"/>
      <c r="H18" s="607"/>
      <c r="I18" s="607"/>
      <c r="J18" s="607"/>
      <c r="K18" s="607"/>
      <c r="L18" s="607"/>
      <c r="M18" s="607"/>
      <c r="N18" s="677"/>
      <c r="O18" s="677"/>
      <c r="P18" s="677"/>
      <c r="Q18" s="677"/>
      <c r="R18" s="677"/>
      <c r="S18" s="677"/>
      <c r="T18" s="677"/>
      <c r="U18" s="677"/>
      <c r="V18" s="677"/>
      <c r="W18" s="677"/>
      <c r="X18" s="677"/>
      <c r="Y18" s="677"/>
    </row>
    <row r="19" spans="2:26" ht="21" customHeight="1" x14ac:dyDescent="0.3">
      <c r="Z19" s="677"/>
    </row>
    <row r="20" spans="2:26" ht="21" customHeight="1" x14ac:dyDescent="0.15"/>
    <row r="21" spans="2:26" ht="21" customHeight="1" x14ac:dyDescent="0.2">
      <c r="G21" s="613"/>
      <c r="Y21" s="613"/>
      <c r="Z21" s="613" t="s">
        <v>431</v>
      </c>
    </row>
    <row r="22" spans="2:26" s="682" customFormat="1" ht="55.5" customHeight="1" x14ac:dyDescent="0.2">
      <c r="B22" s="679" t="s">
        <v>444</v>
      </c>
      <c r="C22" s="680" t="s">
        <v>459</v>
      </c>
      <c r="D22" s="680"/>
      <c r="E22" s="680"/>
      <c r="F22" s="680"/>
      <c r="G22" s="680"/>
      <c r="H22" s="680"/>
      <c r="I22" s="680"/>
      <c r="J22" s="680"/>
      <c r="K22" s="680"/>
      <c r="L22" s="680"/>
      <c r="M22" s="680"/>
      <c r="N22" s="680" t="s">
        <v>459</v>
      </c>
      <c r="O22" s="680"/>
      <c r="P22" s="680"/>
      <c r="Q22" s="680"/>
      <c r="R22" s="680"/>
      <c r="S22" s="680"/>
      <c r="T22" s="680"/>
      <c r="U22" s="680"/>
      <c r="V22" s="680"/>
      <c r="W22" s="680"/>
      <c r="X22" s="680"/>
      <c r="Y22" s="680"/>
      <c r="Z22" s="714" t="s">
        <v>435</v>
      </c>
    </row>
    <row r="23" spans="2:26" s="682" customFormat="1" ht="55.5" customHeight="1" x14ac:dyDescent="0.2">
      <c r="B23" s="683"/>
      <c r="C23" s="684" t="s">
        <v>437</v>
      </c>
      <c r="D23" s="684" t="s">
        <v>438</v>
      </c>
      <c r="E23" s="685"/>
      <c r="F23" s="686" t="s">
        <v>439</v>
      </c>
      <c r="G23" s="686"/>
      <c r="H23" s="686"/>
      <c r="I23" s="686"/>
      <c r="J23" s="686"/>
      <c r="K23" s="686"/>
      <c r="L23" s="686"/>
      <c r="M23" s="686"/>
      <c r="N23" s="686" t="s">
        <v>439</v>
      </c>
      <c r="O23" s="686"/>
      <c r="P23" s="686"/>
      <c r="Q23" s="686"/>
      <c r="R23" s="686"/>
      <c r="S23" s="686"/>
      <c r="T23" s="686"/>
      <c r="U23" s="686"/>
      <c r="V23" s="686"/>
      <c r="W23" s="686"/>
      <c r="X23" s="686"/>
      <c r="Y23" s="686"/>
      <c r="Z23" s="715"/>
    </row>
    <row r="24" spans="2:26" s="682" customFormat="1" ht="55.5" customHeight="1" x14ac:dyDescent="0.2">
      <c r="B24" s="683"/>
      <c r="C24" s="684"/>
      <c r="D24" s="688"/>
      <c r="E24" s="689"/>
      <c r="F24" s="690" t="s">
        <v>446</v>
      </c>
      <c r="G24" s="691"/>
      <c r="H24" s="690" t="s">
        <v>447</v>
      </c>
      <c r="I24" s="691"/>
      <c r="J24" s="690" t="s">
        <v>448</v>
      </c>
      <c r="K24" s="691"/>
      <c r="L24" s="690" t="s">
        <v>449</v>
      </c>
      <c r="M24" s="691"/>
      <c r="N24" s="690" t="s">
        <v>450</v>
      </c>
      <c r="O24" s="691"/>
      <c r="P24" s="690" t="s">
        <v>451</v>
      </c>
      <c r="Q24" s="691"/>
      <c r="R24" s="690" t="s">
        <v>452</v>
      </c>
      <c r="S24" s="691"/>
      <c r="T24" s="690" t="s">
        <v>453</v>
      </c>
      <c r="U24" s="691"/>
      <c r="V24" s="690" t="s">
        <v>454</v>
      </c>
      <c r="W24" s="691"/>
      <c r="X24" s="690" t="s">
        <v>455</v>
      </c>
      <c r="Y24" s="691"/>
      <c r="Z24" s="715"/>
    </row>
    <row r="25" spans="2:26" s="682" customFormat="1" ht="55.5" customHeight="1" x14ac:dyDescent="0.2">
      <c r="B25" s="692"/>
      <c r="C25" s="688"/>
      <c r="D25" s="693" t="s">
        <v>440</v>
      </c>
      <c r="E25" s="694" t="s">
        <v>441</v>
      </c>
      <c r="F25" s="693" t="s">
        <v>440</v>
      </c>
      <c r="G25" s="694" t="s">
        <v>441</v>
      </c>
      <c r="H25" s="693" t="s">
        <v>440</v>
      </c>
      <c r="I25" s="694" t="s">
        <v>441</v>
      </c>
      <c r="J25" s="693" t="s">
        <v>440</v>
      </c>
      <c r="K25" s="694" t="s">
        <v>441</v>
      </c>
      <c r="L25" s="693" t="s">
        <v>440</v>
      </c>
      <c r="M25" s="694" t="s">
        <v>441</v>
      </c>
      <c r="N25" s="693" t="s">
        <v>440</v>
      </c>
      <c r="O25" s="694" t="s">
        <v>441</v>
      </c>
      <c r="P25" s="693" t="s">
        <v>440</v>
      </c>
      <c r="Q25" s="694" t="s">
        <v>441</v>
      </c>
      <c r="R25" s="693" t="s">
        <v>440</v>
      </c>
      <c r="S25" s="694" t="s">
        <v>441</v>
      </c>
      <c r="T25" s="693" t="s">
        <v>440</v>
      </c>
      <c r="U25" s="694" t="s">
        <v>441</v>
      </c>
      <c r="V25" s="693" t="s">
        <v>440</v>
      </c>
      <c r="W25" s="694" t="s">
        <v>441</v>
      </c>
      <c r="X25" s="693" t="s">
        <v>440</v>
      </c>
      <c r="Y25" s="694" t="s">
        <v>441</v>
      </c>
      <c r="Z25" s="716"/>
    </row>
    <row r="26" spans="2:26" s="6" customFormat="1" ht="110.1" customHeight="1" x14ac:dyDescent="0.2">
      <c r="B26" s="717" t="s">
        <v>37</v>
      </c>
      <c r="C26" s="718">
        <v>6547.9319999999998</v>
      </c>
      <c r="D26" s="719">
        <v>4181.1959999999999</v>
      </c>
      <c r="E26" s="720">
        <v>63.855214134783324</v>
      </c>
      <c r="F26" s="719">
        <v>2366.7359999999999</v>
      </c>
      <c r="G26" s="720">
        <v>36.144785865216683</v>
      </c>
      <c r="H26" s="719">
        <v>0</v>
      </c>
      <c r="I26" s="720">
        <v>0</v>
      </c>
      <c r="J26" s="719">
        <v>489.44099999999997</v>
      </c>
      <c r="K26" s="720">
        <v>7.4747416436212228</v>
      </c>
      <c r="L26" s="719">
        <v>147.714</v>
      </c>
      <c r="M26" s="720">
        <v>2.2558878131293971</v>
      </c>
      <c r="N26" s="719">
        <v>986.59900000000005</v>
      </c>
      <c r="O26" s="720">
        <v>15.067337290613281</v>
      </c>
      <c r="P26" s="719">
        <v>445.34699999999998</v>
      </c>
      <c r="Q26" s="720">
        <v>6.8013381934937627</v>
      </c>
      <c r="R26" s="719">
        <v>297.63299999999998</v>
      </c>
      <c r="S26" s="720">
        <v>4.5454503803643656</v>
      </c>
      <c r="T26" s="719">
        <v>0</v>
      </c>
      <c r="U26" s="720">
        <v>0</v>
      </c>
      <c r="V26" s="719">
        <v>0</v>
      </c>
      <c r="W26" s="720">
        <v>0</v>
      </c>
      <c r="X26" s="719">
        <v>0</v>
      </c>
      <c r="Y26" s="720">
        <v>0</v>
      </c>
      <c r="Z26" s="717" t="s">
        <v>37</v>
      </c>
    </row>
    <row r="27" spans="2:26" s="6" customFormat="1" ht="110.1" customHeight="1" x14ac:dyDescent="0.2">
      <c r="B27" s="717" t="s">
        <v>15</v>
      </c>
      <c r="C27" s="718">
        <v>3906.4540000000002</v>
      </c>
      <c r="D27" s="719">
        <v>3348.3890000000001</v>
      </c>
      <c r="E27" s="720">
        <v>85.714282057333833</v>
      </c>
      <c r="F27" s="719">
        <v>558.06500000000005</v>
      </c>
      <c r="G27" s="720">
        <v>14.285717942666162</v>
      </c>
      <c r="H27" s="719">
        <v>0</v>
      </c>
      <c r="I27" s="720">
        <v>0</v>
      </c>
      <c r="J27" s="719">
        <v>55.304000000000002</v>
      </c>
      <c r="K27" s="720">
        <v>1.4157084660410695</v>
      </c>
      <c r="L27" s="719">
        <v>0</v>
      </c>
      <c r="M27" s="720">
        <v>0</v>
      </c>
      <c r="N27" s="719">
        <v>334.33600000000001</v>
      </c>
      <c r="O27" s="720">
        <v>8.5585546380425832</v>
      </c>
      <c r="P27" s="719">
        <v>139.51599999999999</v>
      </c>
      <c r="Q27" s="720">
        <v>3.5714230860007565</v>
      </c>
      <c r="R27" s="719">
        <v>28.908999999999999</v>
      </c>
      <c r="S27" s="720">
        <v>0.74003175258175313</v>
      </c>
      <c r="T27" s="719">
        <v>0</v>
      </c>
      <c r="U27" s="720">
        <v>0</v>
      </c>
      <c r="V27" s="719">
        <v>0</v>
      </c>
      <c r="W27" s="720">
        <v>0</v>
      </c>
      <c r="X27" s="719">
        <v>0</v>
      </c>
      <c r="Y27" s="720">
        <v>0</v>
      </c>
      <c r="Z27" s="717" t="s">
        <v>15</v>
      </c>
    </row>
    <row r="28" spans="2:26" s="6" customFormat="1" ht="110.1" customHeight="1" x14ac:dyDescent="0.2">
      <c r="B28" s="717" t="s">
        <v>16</v>
      </c>
      <c r="C28" s="718">
        <v>1622.702</v>
      </c>
      <c r="D28" s="719">
        <v>442.55500000000001</v>
      </c>
      <c r="E28" s="720">
        <v>27.272721670399125</v>
      </c>
      <c r="F28" s="719">
        <v>1180.1469999999999</v>
      </c>
      <c r="G28" s="720">
        <v>72.727278329600878</v>
      </c>
      <c r="H28" s="719">
        <v>0</v>
      </c>
      <c r="I28" s="720">
        <v>0</v>
      </c>
      <c r="J28" s="719">
        <v>13.411</v>
      </c>
      <c r="K28" s="720">
        <v>0.82646105076594456</v>
      </c>
      <c r="L28" s="719">
        <v>13.411</v>
      </c>
      <c r="M28" s="720">
        <v>0.82646105076594456</v>
      </c>
      <c r="N28" s="719">
        <v>1099.682</v>
      </c>
      <c r="O28" s="720">
        <v>67.76857365061484</v>
      </c>
      <c r="P28" s="719">
        <v>40.231999999999999</v>
      </c>
      <c r="Q28" s="720">
        <v>2.4793215266882029</v>
      </c>
      <c r="R28" s="719">
        <v>13.411</v>
      </c>
      <c r="S28" s="720">
        <v>0.82646105076594456</v>
      </c>
      <c r="T28" s="719">
        <v>0</v>
      </c>
      <c r="U28" s="720">
        <v>0</v>
      </c>
      <c r="V28" s="719">
        <v>0</v>
      </c>
      <c r="W28" s="720">
        <v>0</v>
      </c>
      <c r="X28" s="719">
        <v>0</v>
      </c>
      <c r="Y28" s="720">
        <v>0</v>
      </c>
      <c r="Z28" s="717" t="s">
        <v>16</v>
      </c>
    </row>
    <row r="29" spans="2:26" s="6" customFormat="1" ht="110.1" customHeight="1" x14ac:dyDescent="0.2">
      <c r="B29" s="717" t="s">
        <v>17</v>
      </c>
      <c r="C29" s="718">
        <v>2665.3119999999999</v>
      </c>
      <c r="D29" s="719">
        <v>1157.059</v>
      </c>
      <c r="E29" s="720">
        <v>43.411765676963896</v>
      </c>
      <c r="F29" s="719">
        <v>1508.2529999999999</v>
      </c>
      <c r="G29" s="720">
        <v>56.588234323036104</v>
      </c>
      <c r="H29" s="719">
        <v>0</v>
      </c>
      <c r="I29" s="720">
        <v>0</v>
      </c>
      <c r="J29" s="719">
        <v>59.186</v>
      </c>
      <c r="K29" s="720">
        <v>2.2206030663577097</v>
      </c>
      <c r="L29" s="719">
        <v>237.52600000000001</v>
      </c>
      <c r="M29" s="720">
        <v>8.9117521701024138</v>
      </c>
      <c r="N29" s="719">
        <v>637.71500000000003</v>
      </c>
      <c r="O29" s="720">
        <v>23.926467145309818</v>
      </c>
      <c r="P29" s="719">
        <v>433.89699999999999</v>
      </c>
      <c r="Q29" s="720">
        <v>16.279407438979003</v>
      </c>
      <c r="R29" s="719">
        <v>119.93899999999999</v>
      </c>
      <c r="S29" s="720">
        <v>4.4999984992376127</v>
      </c>
      <c r="T29" s="719">
        <v>19.989999999999998</v>
      </c>
      <c r="U29" s="720">
        <v>0.75000600304954923</v>
      </c>
      <c r="V29" s="719">
        <v>0</v>
      </c>
      <c r="W29" s="720">
        <v>0</v>
      </c>
      <c r="X29" s="719">
        <v>0</v>
      </c>
      <c r="Y29" s="720">
        <v>0</v>
      </c>
      <c r="Z29" s="717" t="s">
        <v>17</v>
      </c>
    </row>
    <row r="30" spans="2:26" s="6" customFormat="1" ht="110.1" customHeight="1" thickBot="1" x14ac:dyDescent="0.25">
      <c r="B30" s="721" t="s">
        <v>18</v>
      </c>
      <c r="C30" s="701">
        <v>230.88800000000001</v>
      </c>
      <c r="D30" s="697">
        <v>106.05500000000001</v>
      </c>
      <c r="E30" s="722">
        <v>45.933526211842974</v>
      </c>
      <c r="F30" s="697">
        <v>124.833</v>
      </c>
      <c r="G30" s="722">
        <v>54.066473788157019</v>
      </c>
      <c r="H30" s="697">
        <v>4.0279999999999996</v>
      </c>
      <c r="I30" s="722">
        <v>1.7445687952600393</v>
      </c>
      <c r="J30" s="697">
        <v>8.0559999999999992</v>
      </c>
      <c r="K30" s="722">
        <v>3.4891375905200785</v>
      </c>
      <c r="L30" s="697">
        <v>4.0279999999999996</v>
      </c>
      <c r="M30" s="722">
        <v>1.7445687952600393</v>
      </c>
      <c r="N30" s="701">
        <v>62.396000000000001</v>
      </c>
      <c r="O30" s="722">
        <v>27.024358130348915</v>
      </c>
      <c r="P30" s="697">
        <v>26.183</v>
      </c>
      <c r="Q30" s="722">
        <v>11.340130279616091</v>
      </c>
      <c r="R30" s="697">
        <v>18.126999999999999</v>
      </c>
      <c r="S30" s="722">
        <v>7.850992689096012</v>
      </c>
      <c r="T30" s="701">
        <v>0</v>
      </c>
      <c r="U30" s="722">
        <v>0</v>
      </c>
      <c r="V30" s="697">
        <v>0</v>
      </c>
      <c r="W30" s="722">
        <v>0</v>
      </c>
      <c r="X30" s="697">
        <v>2.0139999999999998</v>
      </c>
      <c r="Y30" s="722">
        <v>0.87228439763001964</v>
      </c>
      <c r="Z30" s="721" t="s">
        <v>18</v>
      </c>
    </row>
    <row r="31" spans="2:26" s="711" customFormat="1" ht="110.1" customHeight="1" thickTop="1" x14ac:dyDescent="0.2">
      <c r="B31" s="723" t="s">
        <v>436</v>
      </c>
      <c r="C31" s="724">
        <v>14973.288</v>
      </c>
      <c r="D31" s="725">
        <v>9235.2540000000008</v>
      </c>
      <c r="E31" s="726">
        <v>61.678196532384874</v>
      </c>
      <c r="F31" s="725">
        <v>5738.0339999999997</v>
      </c>
      <c r="G31" s="726">
        <v>38.321803467615126</v>
      </c>
      <c r="H31" s="725">
        <v>4.0279999999999996</v>
      </c>
      <c r="I31" s="726">
        <v>2.6901239059851111E-2</v>
      </c>
      <c r="J31" s="725">
        <v>625.39800000000002</v>
      </c>
      <c r="K31" s="726">
        <v>4.1767579705940339</v>
      </c>
      <c r="L31" s="725">
        <v>402.67899999999997</v>
      </c>
      <c r="M31" s="726">
        <v>2.6893158002437403</v>
      </c>
      <c r="N31" s="724">
        <v>3120.7280000000001</v>
      </c>
      <c r="O31" s="726">
        <v>20.841968711214264</v>
      </c>
      <c r="P31" s="725">
        <v>1085.175</v>
      </c>
      <c r="Q31" s="726">
        <v>7.247406180926995</v>
      </c>
      <c r="R31" s="725">
        <v>478.01900000000001</v>
      </c>
      <c r="S31" s="726">
        <v>3.1924784990444315</v>
      </c>
      <c r="T31" s="724">
        <v>19.989999999999998</v>
      </c>
      <c r="U31" s="726">
        <v>0.1335044113223495</v>
      </c>
      <c r="V31" s="725">
        <v>0</v>
      </c>
      <c r="W31" s="726">
        <v>0</v>
      </c>
      <c r="X31" s="725">
        <v>2.0139999999999998</v>
      </c>
      <c r="Y31" s="726">
        <v>1.3450619529925555E-2</v>
      </c>
      <c r="Z31" s="727" t="s">
        <v>436</v>
      </c>
    </row>
    <row r="34" spans="26:26" x14ac:dyDescent="0.15">
      <c r="Z34" s="729"/>
    </row>
    <row r="35" spans="26:26" x14ac:dyDescent="0.15">
      <c r="Z35" s="730"/>
    </row>
    <row r="36" spans="26:26" x14ac:dyDescent="0.15">
      <c r="Z36" s="730"/>
    </row>
    <row r="37" spans="26:26" x14ac:dyDescent="0.15">
      <c r="Z37" s="730"/>
    </row>
    <row r="38" spans="26:26" x14ac:dyDescent="0.15">
      <c r="Z38" s="730"/>
    </row>
    <row r="39" spans="26:26" x14ac:dyDescent="0.15">
      <c r="Z39" s="730"/>
    </row>
  </sheetData>
  <mergeCells count="39">
    <mergeCell ref="T24:U24"/>
    <mergeCell ref="V24:W24"/>
    <mergeCell ref="X24:Y24"/>
    <mergeCell ref="Z22:Z25"/>
    <mergeCell ref="C23:C25"/>
    <mergeCell ref="D23:E24"/>
    <mergeCell ref="F23:M23"/>
    <mergeCell ref="N23:Y23"/>
    <mergeCell ref="F24:G24"/>
    <mergeCell ref="H24:I24"/>
    <mergeCell ref="J24:K24"/>
    <mergeCell ref="L24:M24"/>
    <mergeCell ref="N24:O24"/>
    <mergeCell ref="T7:U7"/>
    <mergeCell ref="V7:W7"/>
    <mergeCell ref="X7:Y7"/>
    <mergeCell ref="B15:M15"/>
    <mergeCell ref="B18:M18"/>
    <mergeCell ref="B22:B25"/>
    <mergeCell ref="C22:M22"/>
    <mergeCell ref="N22:Y22"/>
    <mergeCell ref="P24:Q24"/>
    <mergeCell ref="R24:S24"/>
    <mergeCell ref="H7:I7"/>
    <mergeCell ref="J7:K7"/>
    <mergeCell ref="L7:M7"/>
    <mergeCell ref="N7:O7"/>
    <mergeCell ref="P7:Q7"/>
    <mergeCell ref="R7:S7"/>
    <mergeCell ref="B1:M1"/>
    <mergeCell ref="B5:B8"/>
    <mergeCell ref="C5:M5"/>
    <mergeCell ref="N5:Y5"/>
    <mergeCell ref="Z5:Z8"/>
    <mergeCell ref="C6:C8"/>
    <mergeCell ref="D6:E7"/>
    <mergeCell ref="F6:M6"/>
    <mergeCell ref="N6:Y6"/>
    <mergeCell ref="F7:G7"/>
  </mergeCells>
  <phoneticPr fontId="2"/>
  <printOptions horizontalCentered="1"/>
  <pageMargins left="0.39370078740157483" right="7.874015748031496E-2" top="0.59055118110236227" bottom="0.55118110236220474" header="0.51181102362204722" footer="0.15748031496062992"/>
  <pageSetup paperSize="9" scale="35" firstPageNumber="52" orientation="portrait" useFirstPageNumber="1" r:id="rId1"/>
  <headerFooter differentFirst="1" scaleWithDoc="0" alignWithMargins="0">
    <oddFooter>&amp;C&amp;"ＭＳ 明朝,標準"&amp;12- &amp;P -</oddFooter>
    <firstFooter>&amp;C&amp;"ＭＳ 明朝,標準"&amp;12- &amp;P -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8111-391B-4246-A1D5-F1B18921F5E7}">
  <sheetPr>
    <pageSetUpPr fitToPage="1"/>
  </sheetPr>
  <dimension ref="B1:AJ41"/>
  <sheetViews>
    <sheetView topLeftCell="A15" zoomScale="40" zoomScaleNormal="40" zoomScaleSheetLayoutView="40" zoomScalePageLayoutView="40" workbookViewId="0">
      <selection activeCell="B9" sqref="B9:AA14"/>
    </sheetView>
  </sheetViews>
  <sheetFormatPr defaultRowHeight="13.5" x14ac:dyDescent="0.15"/>
  <cols>
    <col min="1" max="1" width="11.125" style="610" customWidth="1"/>
    <col min="2" max="2" width="20" style="611" customWidth="1"/>
    <col min="3" max="26" width="20.625" style="610" customWidth="1"/>
    <col min="27" max="27" width="9" style="610" customWidth="1"/>
    <col min="28" max="16384" width="9" style="610"/>
  </cols>
  <sheetData>
    <row r="1" spans="2:26" ht="68.25" customHeight="1" x14ac:dyDescent="0.4">
      <c r="B1" s="607" t="s">
        <v>460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</row>
    <row r="2" spans="2:26" ht="21" customHeight="1" x14ac:dyDescent="0.15"/>
    <row r="3" spans="2:26" ht="21" customHeight="1" x14ac:dyDescent="0.15"/>
    <row r="4" spans="2:26" ht="21" customHeight="1" x14ac:dyDescent="0.2">
      <c r="G4" s="613"/>
      <c r="Y4" s="613"/>
      <c r="Z4" s="613" t="s">
        <v>431</v>
      </c>
    </row>
    <row r="5" spans="2:26" s="682" customFormat="1" ht="55.5" customHeight="1" x14ac:dyDescent="0.2">
      <c r="B5" s="679" t="s">
        <v>444</v>
      </c>
      <c r="C5" s="680" t="s">
        <v>461</v>
      </c>
      <c r="D5" s="680"/>
      <c r="E5" s="680"/>
      <c r="F5" s="680"/>
      <c r="G5" s="680"/>
      <c r="H5" s="680"/>
      <c r="I5" s="680"/>
      <c r="J5" s="680"/>
      <c r="K5" s="680"/>
      <c r="L5" s="680"/>
      <c r="M5" s="680"/>
      <c r="N5" s="680" t="s">
        <v>461</v>
      </c>
      <c r="O5" s="680"/>
      <c r="P5" s="680"/>
      <c r="Q5" s="680"/>
      <c r="R5" s="680"/>
      <c r="S5" s="680"/>
      <c r="T5" s="680"/>
      <c r="U5" s="680"/>
      <c r="V5" s="680"/>
      <c r="W5" s="680"/>
      <c r="X5" s="680"/>
      <c r="Y5" s="680"/>
      <c r="Z5" s="714" t="s">
        <v>435</v>
      </c>
    </row>
    <row r="6" spans="2:26" s="682" customFormat="1" ht="55.5" customHeight="1" x14ac:dyDescent="0.2">
      <c r="B6" s="683"/>
      <c r="C6" s="684" t="s">
        <v>437</v>
      </c>
      <c r="D6" s="684" t="s">
        <v>438</v>
      </c>
      <c r="E6" s="685"/>
      <c r="F6" s="686" t="s">
        <v>439</v>
      </c>
      <c r="G6" s="686"/>
      <c r="H6" s="686"/>
      <c r="I6" s="686"/>
      <c r="J6" s="686"/>
      <c r="K6" s="686"/>
      <c r="L6" s="686"/>
      <c r="M6" s="686"/>
      <c r="N6" s="686" t="s">
        <v>439</v>
      </c>
      <c r="O6" s="686"/>
      <c r="P6" s="686"/>
      <c r="Q6" s="686"/>
      <c r="R6" s="686"/>
      <c r="S6" s="686"/>
      <c r="T6" s="686"/>
      <c r="U6" s="686"/>
      <c r="V6" s="686"/>
      <c r="W6" s="686"/>
      <c r="X6" s="686"/>
      <c r="Y6" s="686"/>
      <c r="Z6" s="715"/>
    </row>
    <row r="7" spans="2:26" s="682" customFormat="1" ht="55.5" customHeight="1" x14ac:dyDescent="0.2">
      <c r="B7" s="683"/>
      <c r="C7" s="684"/>
      <c r="D7" s="688"/>
      <c r="E7" s="689"/>
      <c r="F7" s="690" t="s">
        <v>446</v>
      </c>
      <c r="G7" s="691"/>
      <c r="H7" s="690" t="s">
        <v>447</v>
      </c>
      <c r="I7" s="691"/>
      <c r="J7" s="690" t="s">
        <v>448</v>
      </c>
      <c r="K7" s="691"/>
      <c r="L7" s="690" t="s">
        <v>449</v>
      </c>
      <c r="M7" s="691"/>
      <c r="N7" s="690" t="s">
        <v>450</v>
      </c>
      <c r="O7" s="691"/>
      <c r="P7" s="690" t="s">
        <v>451</v>
      </c>
      <c r="Q7" s="691"/>
      <c r="R7" s="690" t="s">
        <v>452</v>
      </c>
      <c r="S7" s="691"/>
      <c r="T7" s="690" t="s">
        <v>453</v>
      </c>
      <c r="U7" s="691"/>
      <c r="V7" s="690" t="s">
        <v>454</v>
      </c>
      <c r="W7" s="691"/>
      <c r="X7" s="690" t="s">
        <v>455</v>
      </c>
      <c r="Y7" s="691"/>
      <c r="Z7" s="715"/>
    </row>
    <row r="8" spans="2:26" s="682" customFormat="1" ht="55.5" customHeight="1" x14ac:dyDescent="0.2">
      <c r="B8" s="692"/>
      <c r="C8" s="688"/>
      <c r="D8" s="693" t="s">
        <v>440</v>
      </c>
      <c r="E8" s="694" t="s">
        <v>441</v>
      </c>
      <c r="F8" s="693" t="s">
        <v>440</v>
      </c>
      <c r="G8" s="694" t="s">
        <v>441</v>
      </c>
      <c r="H8" s="693" t="s">
        <v>440</v>
      </c>
      <c r="I8" s="694" t="s">
        <v>441</v>
      </c>
      <c r="J8" s="693" t="s">
        <v>440</v>
      </c>
      <c r="K8" s="694" t="s">
        <v>441</v>
      </c>
      <c r="L8" s="693" t="s">
        <v>440</v>
      </c>
      <c r="M8" s="694" t="s">
        <v>441</v>
      </c>
      <c r="N8" s="693" t="s">
        <v>440</v>
      </c>
      <c r="O8" s="694" t="s">
        <v>441</v>
      </c>
      <c r="P8" s="693" t="s">
        <v>440</v>
      </c>
      <c r="Q8" s="694" t="s">
        <v>441</v>
      </c>
      <c r="R8" s="693" t="s">
        <v>440</v>
      </c>
      <c r="S8" s="694" t="s">
        <v>441</v>
      </c>
      <c r="T8" s="693" t="s">
        <v>440</v>
      </c>
      <c r="U8" s="694" t="s">
        <v>441</v>
      </c>
      <c r="V8" s="693" t="s">
        <v>440</v>
      </c>
      <c r="W8" s="694" t="s">
        <v>441</v>
      </c>
      <c r="X8" s="693" t="s">
        <v>440</v>
      </c>
      <c r="Y8" s="694" t="s">
        <v>441</v>
      </c>
      <c r="Z8" s="716"/>
    </row>
    <row r="9" spans="2:26" s="6" customFormat="1" ht="110.1" customHeight="1" x14ac:dyDescent="0.2">
      <c r="B9" s="717" t="s">
        <v>37</v>
      </c>
      <c r="C9" s="718">
        <v>6878.6589999999997</v>
      </c>
      <c r="D9" s="719">
        <v>3415.6089999999999</v>
      </c>
      <c r="E9" s="720">
        <v>49.655158076596031</v>
      </c>
      <c r="F9" s="719">
        <v>3463.05</v>
      </c>
      <c r="G9" s="720">
        <v>50.344841923403969</v>
      </c>
      <c r="H9" s="719">
        <v>0</v>
      </c>
      <c r="I9" s="720">
        <v>0</v>
      </c>
      <c r="J9" s="719">
        <v>664.14599999999996</v>
      </c>
      <c r="K9" s="720">
        <v>9.6551667992264196</v>
      </c>
      <c r="L9" s="719">
        <v>237.19499999999999</v>
      </c>
      <c r="M9" s="720">
        <v>3.4482738568665781</v>
      </c>
      <c r="N9" s="719">
        <v>1945</v>
      </c>
      <c r="O9" s="720">
        <v>28.275860164023253</v>
      </c>
      <c r="P9" s="719">
        <v>379.512</v>
      </c>
      <c r="Q9" s="720">
        <v>5.5172381709865252</v>
      </c>
      <c r="R9" s="719">
        <v>237.19499999999999</v>
      </c>
      <c r="S9" s="720">
        <v>3.4482738568665781</v>
      </c>
      <c r="T9" s="719">
        <v>0</v>
      </c>
      <c r="U9" s="720">
        <v>0</v>
      </c>
      <c r="V9" s="719">
        <v>0</v>
      </c>
      <c r="W9" s="720">
        <v>0</v>
      </c>
      <c r="X9" s="719">
        <v>0</v>
      </c>
      <c r="Y9" s="720">
        <v>0</v>
      </c>
      <c r="Z9" s="717" t="s">
        <v>37</v>
      </c>
    </row>
    <row r="10" spans="2:26" s="6" customFormat="1" ht="110.1" customHeight="1" x14ac:dyDescent="0.2">
      <c r="B10" s="717" t="s">
        <v>15</v>
      </c>
      <c r="C10" s="718">
        <v>4537.5450000000001</v>
      </c>
      <c r="D10" s="719">
        <v>3106.2379999999998</v>
      </c>
      <c r="E10" s="720">
        <v>68.456356906653255</v>
      </c>
      <c r="F10" s="719">
        <v>1431.307</v>
      </c>
      <c r="G10" s="720">
        <v>31.543643093346734</v>
      </c>
      <c r="H10" s="719">
        <v>0</v>
      </c>
      <c r="I10" s="720">
        <v>0</v>
      </c>
      <c r="J10" s="719">
        <v>243.626</v>
      </c>
      <c r="K10" s="720">
        <v>5.369114796657664</v>
      </c>
      <c r="L10" s="719">
        <v>30.452999999999999</v>
      </c>
      <c r="M10" s="720">
        <v>0.67113383999497522</v>
      </c>
      <c r="N10" s="719">
        <v>944.053</v>
      </c>
      <c r="O10" s="720">
        <v>20.805369423333541</v>
      </c>
      <c r="P10" s="719">
        <v>152.26599999999999</v>
      </c>
      <c r="Q10" s="720">
        <v>3.3556912383238067</v>
      </c>
      <c r="R10" s="719">
        <v>30.452999999999999</v>
      </c>
      <c r="S10" s="720">
        <v>0.67113383999497522</v>
      </c>
      <c r="T10" s="719">
        <v>0</v>
      </c>
      <c r="U10" s="720">
        <v>0</v>
      </c>
      <c r="V10" s="719">
        <v>0</v>
      </c>
      <c r="W10" s="720">
        <v>0</v>
      </c>
      <c r="X10" s="719">
        <v>30.452999999999999</v>
      </c>
      <c r="Y10" s="720">
        <v>0.67113383999497522</v>
      </c>
      <c r="Z10" s="717" t="s">
        <v>15</v>
      </c>
    </row>
    <row r="11" spans="2:26" s="6" customFormat="1" ht="110.1" customHeight="1" x14ac:dyDescent="0.2">
      <c r="B11" s="717" t="s">
        <v>16</v>
      </c>
      <c r="C11" s="718">
        <v>2144.826</v>
      </c>
      <c r="D11" s="719">
        <v>460.51100000000002</v>
      </c>
      <c r="E11" s="720">
        <v>21.470785975179339</v>
      </c>
      <c r="F11" s="719">
        <v>1684.3150000000001</v>
      </c>
      <c r="G11" s="720">
        <v>78.529214024820661</v>
      </c>
      <c r="H11" s="719">
        <v>0</v>
      </c>
      <c r="I11" s="720">
        <v>0</v>
      </c>
      <c r="J11" s="719">
        <v>52.313000000000002</v>
      </c>
      <c r="K11" s="720">
        <v>2.4390323504097768</v>
      </c>
      <c r="L11" s="719">
        <v>0</v>
      </c>
      <c r="M11" s="720">
        <v>0</v>
      </c>
      <c r="N11" s="719">
        <v>1579.6890000000001</v>
      </c>
      <c r="O11" s="720">
        <v>73.651149324001111</v>
      </c>
      <c r="P11" s="719">
        <v>34.875</v>
      </c>
      <c r="Q11" s="720">
        <v>1.6260060256636202</v>
      </c>
      <c r="R11" s="719">
        <v>17.437999999999999</v>
      </c>
      <c r="S11" s="720">
        <v>0.81302632474615655</v>
      </c>
      <c r="T11" s="719">
        <v>0</v>
      </c>
      <c r="U11" s="720">
        <v>0</v>
      </c>
      <c r="V11" s="719">
        <v>0</v>
      </c>
      <c r="W11" s="720">
        <v>0</v>
      </c>
      <c r="X11" s="719">
        <v>0</v>
      </c>
      <c r="Y11" s="720">
        <v>0</v>
      </c>
      <c r="Z11" s="717" t="s">
        <v>16</v>
      </c>
    </row>
    <row r="12" spans="2:26" s="6" customFormat="1" ht="110.1" customHeight="1" x14ac:dyDescent="0.2">
      <c r="B12" s="717" t="s">
        <v>17</v>
      </c>
      <c r="C12" s="718">
        <v>3198.7669999999998</v>
      </c>
      <c r="D12" s="719">
        <v>1024.605</v>
      </c>
      <c r="E12" s="720">
        <v>32.031248290356878</v>
      </c>
      <c r="F12" s="719">
        <v>2174.1619999999998</v>
      </c>
      <c r="G12" s="720">
        <v>67.968751709643115</v>
      </c>
      <c r="H12" s="719">
        <v>0</v>
      </c>
      <c r="I12" s="720">
        <v>0</v>
      </c>
      <c r="J12" s="719">
        <v>0</v>
      </c>
      <c r="K12" s="720">
        <v>0</v>
      </c>
      <c r="L12" s="719">
        <v>399.846</v>
      </c>
      <c r="M12" s="720">
        <v>12.500003907755708</v>
      </c>
      <c r="N12" s="719">
        <v>899.65300000000002</v>
      </c>
      <c r="O12" s="720">
        <v>28.124993161427515</v>
      </c>
      <c r="P12" s="719">
        <v>749.71100000000001</v>
      </c>
      <c r="Q12" s="720">
        <v>23.43749951153054</v>
      </c>
      <c r="R12" s="719">
        <v>124.95099999999999</v>
      </c>
      <c r="S12" s="720">
        <v>3.906223866883709</v>
      </c>
      <c r="T12" s="719">
        <v>0</v>
      </c>
      <c r="U12" s="720">
        <v>0</v>
      </c>
      <c r="V12" s="719">
        <v>0</v>
      </c>
      <c r="W12" s="720">
        <v>0</v>
      </c>
      <c r="X12" s="719">
        <v>0</v>
      </c>
      <c r="Y12" s="720">
        <v>0</v>
      </c>
      <c r="Z12" s="717" t="s">
        <v>17</v>
      </c>
    </row>
    <row r="13" spans="2:26" s="6" customFormat="1" ht="110.1" customHeight="1" thickBot="1" x14ac:dyDescent="0.25">
      <c r="B13" s="721" t="s">
        <v>18</v>
      </c>
      <c r="C13" s="701">
        <v>330.149</v>
      </c>
      <c r="D13" s="697">
        <v>95.49</v>
      </c>
      <c r="E13" s="722">
        <v>28.923304326228461</v>
      </c>
      <c r="F13" s="697">
        <v>234.65899999999999</v>
      </c>
      <c r="G13" s="722">
        <v>71.076695673771539</v>
      </c>
      <c r="H13" s="697">
        <v>3.089</v>
      </c>
      <c r="I13" s="722">
        <v>0.93563815125897698</v>
      </c>
      <c r="J13" s="697">
        <v>33.976999999999997</v>
      </c>
      <c r="K13" s="722">
        <v>10.291413876764732</v>
      </c>
      <c r="L13" s="697">
        <v>3.089</v>
      </c>
      <c r="M13" s="722">
        <v>0.93563815125897698</v>
      </c>
      <c r="N13" s="701">
        <v>126.64</v>
      </c>
      <c r="O13" s="722">
        <v>38.358438159739997</v>
      </c>
      <c r="P13" s="697">
        <v>40.154000000000003</v>
      </c>
      <c r="Q13" s="722">
        <v>12.162387285740682</v>
      </c>
      <c r="R13" s="697">
        <v>15.444000000000001</v>
      </c>
      <c r="S13" s="722">
        <v>4.6778878627528782</v>
      </c>
      <c r="T13" s="697">
        <v>9.1790000000000003</v>
      </c>
      <c r="U13" s="722">
        <v>2.7802598220803336</v>
      </c>
      <c r="V13" s="697">
        <v>0</v>
      </c>
      <c r="W13" s="722">
        <v>0</v>
      </c>
      <c r="X13" s="697">
        <v>3.089</v>
      </c>
      <c r="Y13" s="722">
        <v>0.93563815125897698</v>
      </c>
      <c r="Z13" s="721" t="s">
        <v>18</v>
      </c>
    </row>
    <row r="14" spans="2:26" s="711" customFormat="1" ht="110.1" customHeight="1" thickTop="1" x14ac:dyDescent="0.2">
      <c r="B14" s="723" t="s">
        <v>436</v>
      </c>
      <c r="C14" s="724">
        <v>17089.946</v>
      </c>
      <c r="D14" s="725">
        <v>8102.4530000000004</v>
      </c>
      <c r="E14" s="726">
        <v>47.410641320926352</v>
      </c>
      <c r="F14" s="725">
        <v>8987.4930000000004</v>
      </c>
      <c r="G14" s="726">
        <v>52.589358679073648</v>
      </c>
      <c r="H14" s="725">
        <v>3.089</v>
      </c>
      <c r="I14" s="726">
        <v>1.8074954713139527E-2</v>
      </c>
      <c r="J14" s="725">
        <v>994.06200000000001</v>
      </c>
      <c r="K14" s="726">
        <v>5.8166479870679524</v>
      </c>
      <c r="L14" s="725">
        <v>670.58299999999997</v>
      </c>
      <c r="M14" s="726">
        <v>3.9238450490130279</v>
      </c>
      <c r="N14" s="724">
        <v>5495.0349999999999</v>
      </c>
      <c r="O14" s="726">
        <v>32.153612422180856</v>
      </c>
      <c r="P14" s="725">
        <v>1356.518</v>
      </c>
      <c r="Q14" s="726">
        <v>7.9375206919904837</v>
      </c>
      <c r="R14" s="725">
        <v>425.48099999999999</v>
      </c>
      <c r="S14" s="726">
        <v>2.489656784170061</v>
      </c>
      <c r="T14" s="725">
        <v>9.1790000000000003</v>
      </c>
      <c r="U14" s="726">
        <v>5.3709941505959119E-2</v>
      </c>
      <c r="V14" s="725">
        <v>0</v>
      </c>
      <c r="W14" s="726">
        <v>0</v>
      </c>
      <c r="X14" s="725">
        <v>33.542000000000002</v>
      </c>
      <c r="Y14" s="726">
        <v>0.19626744285792361</v>
      </c>
      <c r="Z14" s="727" t="s">
        <v>436</v>
      </c>
    </row>
    <row r="15" spans="2:26" ht="35.25" customHeight="1" x14ac:dyDescent="0.25">
      <c r="B15" s="731" t="s">
        <v>442</v>
      </c>
      <c r="C15" s="731"/>
      <c r="D15" s="731"/>
      <c r="E15" s="731"/>
      <c r="F15" s="731"/>
      <c r="G15" s="731"/>
      <c r="H15" s="731"/>
      <c r="I15" s="731"/>
      <c r="J15" s="731"/>
      <c r="K15" s="731"/>
      <c r="L15" s="731"/>
      <c r="M15" s="731"/>
    </row>
    <row r="16" spans="2:26" ht="50.25" customHeight="1" x14ac:dyDescent="0.15"/>
    <row r="17" spans="2:26" ht="50.25" customHeight="1" x14ac:dyDescent="0.15"/>
    <row r="18" spans="2:26" ht="60.75" customHeight="1" x14ac:dyDescent="0.4">
      <c r="B18" s="607" t="s">
        <v>462</v>
      </c>
      <c r="C18" s="607"/>
      <c r="D18" s="607"/>
      <c r="E18" s="607"/>
      <c r="F18" s="607"/>
      <c r="G18" s="607"/>
      <c r="H18" s="607"/>
      <c r="I18" s="607"/>
      <c r="J18" s="607"/>
      <c r="K18" s="607"/>
      <c r="L18" s="607"/>
      <c r="M18" s="607"/>
      <c r="N18" s="677"/>
      <c r="O18" s="677"/>
      <c r="P18" s="677"/>
      <c r="Q18" s="677"/>
      <c r="R18" s="677"/>
      <c r="S18" s="677"/>
      <c r="T18" s="677"/>
      <c r="U18" s="677"/>
      <c r="V18" s="677"/>
      <c r="W18" s="677"/>
      <c r="X18" s="677"/>
      <c r="Y18" s="677"/>
      <c r="Z18" s="677"/>
    </row>
    <row r="19" spans="2:26" ht="21" customHeight="1" x14ac:dyDescent="0.15"/>
    <row r="20" spans="2:26" ht="21" customHeight="1" x14ac:dyDescent="0.15"/>
    <row r="21" spans="2:26" ht="21" customHeight="1" x14ac:dyDescent="0.2">
      <c r="G21" s="613"/>
      <c r="Y21" s="613"/>
      <c r="Z21" s="613" t="s">
        <v>431</v>
      </c>
    </row>
    <row r="22" spans="2:26" s="682" customFormat="1" ht="55.5" customHeight="1" x14ac:dyDescent="0.2">
      <c r="B22" s="679" t="s">
        <v>444</v>
      </c>
      <c r="C22" s="680" t="s">
        <v>463</v>
      </c>
      <c r="D22" s="680"/>
      <c r="E22" s="680"/>
      <c r="F22" s="680"/>
      <c r="G22" s="680"/>
      <c r="H22" s="680"/>
      <c r="I22" s="680"/>
      <c r="J22" s="680"/>
      <c r="K22" s="680"/>
      <c r="L22" s="680"/>
      <c r="M22" s="680"/>
      <c r="N22" s="680" t="s">
        <v>463</v>
      </c>
      <c r="O22" s="680"/>
      <c r="P22" s="680"/>
      <c r="Q22" s="680"/>
      <c r="R22" s="680"/>
      <c r="S22" s="680"/>
      <c r="T22" s="680"/>
      <c r="U22" s="680"/>
      <c r="V22" s="680"/>
      <c r="W22" s="680"/>
      <c r="X22" s="680"/>
      <c r="Y22" s="680"/>
      <c r="Z22" s="714" t="s">
        <v>435</v>
      </c>
    </row>
    <row r="23" spans="2:26" s="682" customFormat="1" ht="55.5" customHeight="1" x14ac:dyDescent="0.2">
      <c r="B23" s="683"/>
      <c r="C23" s="684" t="s">
        <v>437</v>
      </c>
      <c r="D23" s="684" t="s">
        <v>438</v>
      </c>
      <c r="E23" s="685"/>
      <c r="F23" s="686" t="s">
        <v>439</v>
      </c>
      <c r="G23" s="686"/>
      <c r="H23" s="686"/>
      <c r="I23" s="686"/>
      <c r="J23" s="686"/>
      <c r="K23" s="686"/>
      <c r="L23" s="686"/>
      <c r="M23" s="686"/>
      <c r="N23" s="686" t="s">
        <v>439</v>
      </c>
      <c r="O23" s="686"/>
      <c r="P23" s="686"/>
      <c r="Q23" s="686"/>
      <c r="R23" s="686"/>
      <c r="S23" s="686"/>
      <c r="T23" s="686"/>
      <c r="U23" s="686"/>
      <c r="V23" s="686"/>
      <c r="W23" s="686"/>
      <c r="X23" s="686"/>
      <c r="Y23" s="686"/>
      <c r="Z23" s="715"/>
    </row>
    <row r="24" spans="2:26" s="682" customFormat="1" ht="55.5" customHeight="1" x14ac:dyDescent="0.2">
      <c r="B24" s="683"/>
      <c r="C24" s="684"/>
      <c r="D24" s="688"/>
      <c r="E24" s="689"/>
      <c r="F24" s="690" t="s">
        <v>446</v>
      </c>
      <c r="G24" s="691"/>
      <c r="H24" s="690" t="s">
        <v>447</v>
      </c>
      <c r="I24" s="691"/>
      <c r="J24" s="690" t="s">
        <v>448</v>
      </c>
      <c r="K24" s="691"/>
      <c r="L24" s="690" t="s">
        <v>449</v>
      </c>
      <c r="M24" s="691"/>
      <c r="N24" s="690" t="s">
        <v>450</v>
      </c>
      <c r="O24" s="691"/>
      <c r="P24" s="690" t="s">
        <v>451</v>
      </c>
      <c r="Q24" s="691"/>
      <c r="R24" s="690" t="s">
        <v>452</v>
      </c>
      <c r="S24" s="691"/>
      <c r="T24" s="690" t="s">
        <v>453</v>
      </c>
      <c r="U24" s="691"/>
      <c r="V24" s="690" t="s">
        <v>454</v>
      </c>
      <c r="W24" s="691"/>
      <c r="X24" s="690" t="s">
        <v>455</v>
      </c>
      <c r="Y24" s="691"/>
      <c r="Z24" s="715"/>
    </row>
    <row r="25" spans="2:26" s="682" customFormat="1" ht="55.5" customHeight="1" x14ac:dyDescent="0.2">
      <c r="B25" s="692"/>
      <c r="C25" s="688"/>
      <c r="D25" s="693" t="s">
        <v>440</v>
      </c>
      <c r="E25" s="694" t="s">
        <v>441</v>
      </c>
      <c r="F25" s="693" t="s">
        <v>440</v>
      </c>
      <c r="G25" s="694" t="s">
        <v>441</v>
      </c>
      <c r="H25" s="693" t="s">
        <v>440</v>
      </c>
      <c r="I25" s="694" t="s">
        <v>441</v>
      </c>
      <c r="J25" s="693" t="s">
        <v>440</v>
      </c>
      <c r="K25" s="694" t="s">
        <v>441</v>
      </c>
      <c r="L25" s="693" t="s">
        <v>440</v>
      </c>
      <c r="M25" s="694" t="s">
        <v>441</v>
      </c>
      <c r="N25" s="693" t="s">
        <v>440</v>
      </c>
      <c r="O25" s="694" t="s">
        <v>441</v>
      </c>
      <c r="P25" s="693" t="s">
        <v>440</v>
      </c>
      <c r="Q25" s="694" t="s">
        <v>441</v>
      </c>
      <c r="R25" s="693" t="s">
        <v>440</v>
      </c>
      <c r="S25" s="694" t="s">
        <v>441</v>
      </c>
      <c r="T25" s="693" t="s">
        <v>440</v>
      </c>
      <c r="U25" s="694" t="s">
        <v>441</v>
      </c>
      <c r="V25" s="693" t="s">
        <v>440</v>
      </c>
      <c r="W25" s="694" t="s">
        <v>441</v>
      </c>
      <c r="X25" s="693" t="s">
        <v>440</v>
      </c>
      <c r="Y25" s="694" t="s">
        <v>441</v>
      </c>
      <c r="Z25" s="716"/>
    </row>
    <row r="26" spans="2:26" s="6" customFormat="1" ht="110.1" customHeight="1" x14ac:dyDescent="0.2">
      <c r="B26" s="717" t="s">
        <v>37</v>
      </c>
      <c r="C26" s="718">
        <v>6199.2740000000003</v>
      </c>
      <c r="D26" s="719">
        <v>3300.7240000000002</v>
      </c>
      <c r="E26" s="720">
        <v>53.243718538654683</v>
      </c>
      <c r="F26" s="719">
        <v>2898.55</v>
      </c>
      <c r="G26" s="720">
        <v>46.75628146134531</v>
      </c>
      <c r="H26" s="719">
        <v>44.203000000000003</v>
      </c>
      <c r="I26" s="720">
        <v>0.71303510701414397</v>
      </c>
      <c r="J26" s="719">
        <v>483.33300000000003</v>
      </c>
      <c r="K26" s="720">
        <v>7.7966065058585885</v>
      </c>
      <c r="L26" s="719">
        <v>176.81200000000001</v>
      </c>
      <c r="M26" s="720">
        <v>2.8521404280565759</v>
      </c>
      <c r="N26" s="719">
        <v>1712.318</v>
      </c>
      <c r="O26" s="720">
        <v>27.621266619284775</v>
      </c>
      <c r="P26" s="719">
        <v>393.47800000000001</v>
      </c>
      <c r="Q26" s="720">
        <v>6.3471625871029405</v>
      </c>
      <c r="R26" s="719">
        <v>44.203000000000003</v>
      </c>
      <c r="S26" s="720">
        <v>0.71303510701414397</v>
      </c>
      <c r="T26" s="719">
        <v>44.203000000000003</v>
      </c>
      <c r="U26" s="720">
        <v>0.71303510701414397</v>
      </c>
      <c r="V26" s="719">
        <v>0</v>
      </c>
      <c r="W26" s="720">
        <v>0</v>
      </c>
      <c r="X26" s="719">
        <v>0</v>
      </c>
      <c r="Y26" s="720">
        <v>0</v>
      </c>
      <c r="Z26" s="717" t="s">
        <v>37</v>
      </c>
    </row>
    <row r="27" spans="2:26" s="6" customFormat="1" ht="110.1" customHeight="1" x14ac:dyDescent="0.2">
      <c r="B27" s="717" t="s">
        <v>15</v>
      </c>
      <c r="C27" s="718">
        <v>3370.3530000000001</v>
      </c>
      <c r="D27" s="719">
        <v>2527.7649999999999</v>
      </c>
      <c r="E27" s="720">
        <v>75.000007417620637</v>
      </c>
      <c r="F27" s="719">
        <v>842.58799999999997</v>
      </c>
      <c r="G27" s="720">
        <v>24.999992582379353</v>
      </c>
      <c r="H27" s="719">
        <v>0</v>
      </c>
      <c r="I27" s="720">
        <v>0</v>
      </c>
      <c r="J27" s="719">
        <v>221.67099999999999</v>
      </c>
      <c r="K27" s="720">
        <v>6.5770855456386901</v>
      </c>
      <c r="L27" s="719">
        <v>44.091999999999999</v>
      </c>
      <c r="M27" s="720">
        <v>1.308230918245062</v>
      </c>
      <c r="N27" s="719">
        <v>377.50400000000002</v>
      </c>
      <c r="O27" s="720">
        <v>11.20072585868602</v>
      </c>
      <c r="P27" s="719">
        <v>199.322</v>
      </c>
      <c r="Q27" s="720">
        <v>5.9139799302921681</v>
      </c>
      <c r="R27" s="719">
        <v>0</v>
      </c>
      <c r="S27" s="720">
        <v>0</v>
      </c>
      <c r="T27" s="719">
        <v>0</v>
      </c>
      <c r="U27" s="720">
        <v>0</v>
      </c>
      <c r="V27" s="719">
        <v>0</v>
      </c>
      <c r="W27" s="720">
        <v>0</v>
      </c>
      <c r="X27" s="719">
        <v>0</v>
      </c>
      <c r="Y27" s="720">
        <v>0</v>
      </c>
      <c r="Z27" s="717" t="s">
        <v>15</v>
      </c>
    </row>
    <row r="28" spans="2:26" s="6" customFormat="1" ht="110.1" customHeight="1" x14ac:dyDescent="0.2">
      <c r="B28" s="717" t="s">
        <v>16</v>
      </c>
      <c r="C28" s="718">
        <v>1894.4960000000001</v>
      </c>
      <c r="D28" s="719">
        <v>444.71800000000002</v>
      </c>
      <c r="E28" s="720">
        <v>23.474211610898095</v>
      </c>
      <c r="F28" s="719">
        <v>1449.778</v>
      </c>
      <c r="G28" s="720">
        <v>76.525788389101905</v>
      </c>
      <c r="H28" s="719">
        <v>0</v>
      </c>
      <c r="I28" s="720">
        <v>0</v>
      </c>
      <c r="J28" s="719">
        <v>27.177</v>
      </c>
      <c r="K28" s="720">
        <v>1.4345240106075705</v>
      </c>
      <c r="L28" s="719">
        <v>0</v>
      </c>
      <c r="M28" s="720">
        <v>0</v>
      </c>
      <c r="N28" s="719">
        <v>1313.893</v>
      </c>
      <c r="O28" s="720">
        <v>69.353168336064059</v>
      </c>
      <c r="P28" s="719">
        <v>95.12</v>
      </c>
      <c r="Q28" s="720">
        <v>5.0208604293701331</v>
      </c>
      <c r="R28" s="719">
        <v>13.589</v>
      </c>
      <c r="S28" s="720">
        <v>0.71728839754742157</v>
      </c>
      <c r="T28" s="719">
        <v>0</v>
      </c>
      <c r="U28" s="720">
        <v>0</v>
      </c>
      <c r="V28" s="719">
        <v>0</v>
      </c>
      <c r="W28" s="720">
        <v>0</v>
      </c>
      <c r="X28" s="719">
        <v>0</v>
      </c>
      <c r="Y28" s="720">
        <v>0</v>
      </c>
      <c r="Z28" s="717" t="s">
        <v>16</v>
      </c>
    </row>
    <row r="29" spans="2:26" s="6" customFormat="1" ht="110.1" customHeight="1" x14ac:dyDescent="0.2">
      <c r="B29" s="717" t="s">
        <v>17</v>
      </c>
      <c r="C29" s="718">
        <v>1959.9590000000001</v>
      </c>
      <c r="D29" s="719">
        <v>682.48500000000001</v>
      </c>
      <c r="E29" s="720">
        <v>34.821391671968648</v>
      </c>
      <c r="F29" s="719">
        <v>1277.4739999999999</v>
      </c>
      <c r="G29" s="720">
        <v>65.178608328031345</v>
      </c>
      <c r="H29" s="719">
        <v>0</v>
      </c>
      <c r="I29" s="720">
        <v>0</v>
      </c>
      <c r="J29" s="719">
        <v>104.998</v>
      </c>
      <c r="K29" s="720">
        <v>5.3571528792183916</v>
      </c>
      <c r="L29" s="719">
        <v>244.995</v>
      </c>
      <c r="M29" s="720">
        <v>12.50000637768443</v>
      </c>
      <c r="N29" s="719">
        <v>454.99099999999999</v>
      </c>
      <c r="O29" s="720">
        <v>23.214312136121212</v>
      </c>
      <c r="P29" s="719">
        <v>349.99299999999999</v>
      </c>
      <c r="Q29" s="720">
        <v>17.857159256902822</v>
      </c>
      <c r="R29" s="719">
        <v>122.497</v>
      </c>
      <c r="S29" s="720">
        <v>6.2499776781044911</v>
      </c>
      <c r="T29" s="719">
        <v>0</v>
      </c>
      <c r="U29" s="720">
        <v>0</v>
      </c>
      <c r="V29" s="719">
        <v>0</v>
      </c>
      <c r="W29" s="720">
        <v>0</v>
      </c>
      <c r="X29" s="719">
        <v>0</v>
      </c>
      <c r="Y29" s="720">
        <v>0</v>
      </c>
      <c r="Z29" s="717" t="s">
        <v>17</v>
      </c>
    </row>
    <row r="30" spans="2:26" s="6" customFormat="1" ht="110.1" customHeight="1" thickBot="1" x14ac:dyDescent="0.25">
      <c r="B30" s="721" t="s">
        <v>18</v>
      </c>
      <c r="C30" s="701">
        <v>151.25800000000001</v>
      </c>
      <c r="D30" s="697">
        <v>20.626000000000001</v>
      </c>
      <c r="E30" s="722">
        <v>13.636303534358513</v>
      </c>
      <c r="F30" s="697">
        <v>130.63200000000001</v>
      </c>
      <c r="G30" s="722">
        <v>86.363696465641482</v>
      </c>
      <c r="H30" s="697">
        <v>0</v>
      </c>
      <c r="I30" s="722">
        <v>0</v>
      </c>
      <c r="J30" s="697">
        <v>4.5839999999999996</v>
      </c>
      <c r="K30" s="722">
        <v>3.0305835063269377</v>
      </c>
      <c r="L30" s="697">
        <v>0</v>
      </c>
      <c r="M30" s="722">
        <v>0</v>
      </c>
      <c r="N30" s="701">
        <v>98.546999999999997</v>
      </c>
      <c r="O30" s="722">
        <v>65.151595287521985</v>
      </c>
      <c r="P30" s="697">
        <v>4.5839999999999996</v>
      </c>
      <c r="Q30" s="722">
        <v>3.0305835063269377</v>
      </c>
      <c r="R30" s="697">
        <v>20.626000000000001</v>
      </c>
      <c r="S30" s="722">
        <v>13.636303534358513</v>
      </c>
      <c r="T30" s="697">
        <v>2.2919999999999998</v>
      </c>
      <c r="U30" s="722">
        <v>1.5152917531634689</v>
      </c>
      <c r="V30" s="697">
        <v>0</v>
      </c>
      <c r="W30" s="722">
        <v>0</v>
      </c>
      <c r="X30" s="697">
        <v>0</v>
      </c>
      <c r="Y30" s="722">
        <v>0</v>
      </c>
      <c r="Z30" s="721" t="s">
        <v>18</v>
      </c>
    </row>
    <row r="31" spans="2:26" s="711" customFormat="1" ht="110.1" customHeight="1" thickTop="1" x14ac:dyDescent="0.2">
      <c r="B31" s="723" t="s">
        <v>436</v>
      </c>
      <c r="C31" s="724">
        <v>13575.34</v>
      </c>
      <c r="D31" s="725">
        <v>6976.3180000000002</v>
      </c>
      <c r="E31" s="726">
        <v>51.389637386614261</v>
      </c>
      <c r="F31" s="725">
        <v>6599.0219999999999</v>
      </c>
      <c r="G31" s="726">
        <v>48.610362613385746</v>
      </c>
      <c r="H31" s="725">
        <v>44.203000000000003</v>
      </c>
      <c r="I31" s="726">
        <v>0.32561247084787565</v>
      </c>
      <c r="J31" s="725">
        <v>841.76300000000003</v>
      </c>
      <c r="K31" s="726">
        <v>6.2006771101128964</v>
      </c>
      <c r="L31" s="725">
        <v>465.899</v>
      </c>
      <c r="M31" s="726">
        <v>3.4319508756318444</v>
      </c>
      <c r="N31" s="724">
        <v>3957.2530000000002</v>
      </c>
      <c r="O31" s="726">
        <v>29.150304891074551</v>
      </c>
      <c r="P31" s="725">
        <v>1042.4970000000001</v>
      </c>
      <c r="Q31" s="726">
        <v>7.6793435744519103</v>
      </c>
      <c r="R31" s="725">
        <v>200.91499999999999</v>
      </c>
      <c r="S31" s="726">
        <v>1.4799997642784637</v>
      </c>
      <c r="T31" s="725">
        <v>46.494999999999997</v>
      </c>
      <c r="U31" s="726">
        <v>0.34249602588222466</v>
      </c>
      <c r="V31" s="725">
        <v>0</v>
      </c>
      <c r="W31" s="726">
        <v>0</v>
      </c>
      <c r="X31" s="725">
        <v>0</v>
      </c>
      <c r="Y31" s="726">
        <v>0</v>
      </c>
      <c r="Z31" s="727" t="s">
        <v>436</v>
      </c>
    </row>
    <row r="32" spans="2:26" ht="14.25" hidden="1" customHeight="1" x14ac:dyDescent="0.15">
      <c r="B32" s="674"/>
      <c r="C32" s="712">
        <f>SUM(,D31,F31)</f>
        <v>13575.34</v>
      </c>
      <c r="D32" s="675"/>
      <c r="E32" s="675"/>
      <c r="F32" s="712">
        <f>SUM(H31,J31,L31,N31,P31,R31,T31,V31,X31)</f>
        <v>6599.0250000000005</v>
      </c>
      <c r="G32" s="675"/>
      <c r="H32" s="673"/>
      <c r="J32" s="673"/>
      <c r="L32" s="732"/>
      <c r="M32" s="733"/>
      <c r="N32" s="673"/>
      <c r="P32" s="673"/>
      <c r="R32" s="673"/>
      <c r="T32" s="673"/>
      <c r="V32" s="673"/>
      <c r="X32" s="673"/>
    </row>
    <row r="33" spans="2:36" ht="15" hidden="1" customHeight="1" thickBot="1" x14ac:dyDescent="0.2">
      <c r="B33" s="674"/>
      <c r="C33" s="675"/>
      <c r="D33" s="675"/>
      <c r="E33" s="675"/>
      <c r="F33" s="675"/>
      <c r="G33" s="675"/>
      <c r="H33" s="673"/>
      <c r="J33" s="673"/>
      <c r="L33" s="673"/>
      <c r="N33" s="673"/>
      <c r="P33" s="673"/>
      <c r="R33" s="673"/>
      <c r="T33" s="673"/>
      <c r="V33" s="673"/>
      <c r="X33" s="673"/>
    </row>
    <row r="34" spans="2:36" ht="14.25" hidden="1" customHeight="1" x14ac:dyDescent="0.15">
      <c r="B34" s="674"/>
      <c r="C34" s="675"/>
      <c r="D34" s="675"/>
      <c r="E34" s="734" t="s">
        <v>438</v>
      </c>
      <c r="F34" s="735"/>
      <c r="G34" s="736" t="s">
        <v>439</v>
      </c>
      <c r="H34" s="737"/>
      <c r="I34" s="738" t="s">
        <v>447</v>
      </c>
      <c r="J34" s="738"/>
      <c r="K34" s="738" t="s">
        <v>448</v>
      </c>
      <c r="L34" s="738"/>
      <c r="M34" s="738" t="s">
        <v>449</v>
      </c>
      <c r="N34" s="738"/>
      <c r="O34" s="738" t="s">
        <v>450</v>
      </c>
      <c r="P34" s="738"/>
      <c r="Q34" s="739" t="s">
        <v>451</v>
      </c>
      <c r="R34" s="739"/>
      <c r="S34" s="739" t="s">
        <v>452</v>
      </c>
      <c r="T34" s="739"/>
      <c r="U34" s="739" t="s">
        <v>453</v>
      </c>
      <c r="V34" s="739"/>
      <c r="W34" s="739" t="s">
        <v>454</v>
      </c>
      <c r="X34" s="739"/>
      <c r="Y34" s="739" t="s">
        <v>455</v>
      </c>
      <c r="Z34" s="729"/>
      <c r="AA34" s="673"/>
      <c r="AC34" s="673"/>
      <c r="AE34" s="673"/>
    </row>
    <row r="35" spans="2:36" ht="14.25" hidden="1" customHeight="1" x14ac:dyDescent="0.15">
      <c r="B35" s="674"/>
      <c r="C35" s="740">
        <v>6565985</v>
      </c>
      <c r="D35" s="675"/>
      <c r="E35" s="741"/>
      <c r="F35" s="741"/>
      <c r="G35" s="741"/>
      <c r="H35" s="741"/>
      <c r="I35" s="742">
        <v>0</v>
      </c>
      <c r="J35" s="742"/>
      <c r="K35" s="742">
        <v>0.1368421052631579</v>
      </c>
      <c r="L35" s="742"/>
      <c r="M35" s="742">
        <v>2.1052631578947368E-2</v>
      </c>
      <c r="N35" s="742"/>
      <c r="O35" s="742">
        <v>0.12631578947368421</v>
      </c>
      <c r="P35" s="742"/>
      <c r="Q35" s="743">
        <v>2.1052631578947368E-2</v>
      </c>
      <c r="R35" s="743"/>
      <c r="S35" s="743">
        <v>0</v>
      </c>
      <c r="T35" s="743"/>
      <c r="U35" s="743">
        <v>0</v>
      </c>
      <c r="V35" s="743"/>
      <c r="W35" s="743">
        <v>0</v>
      </c>
      <c r="X35" s="743"/>
      <c r="Y35" s="743">
        <v>0</v>
      </c>
      <c r="Z35" s="730"/>
      <c r="AB35" s="673"/>
      <c r="AD35" s="673"/>
      <c r="AF35" s="673"/>
      <c r="AH35" s="673"/>
      <c r="AJ35" s="673"/>
    </row>
    <row r="36" spans="2:36" ht="14.25" hidden="1" customHeight="1" x14ac:dyDescent="0.15">
      <c r="B36" s="674"/>
      <c r="C36" s="740">
        <v>3223277</v>
      </c>
      <c r="D36" s="675"/>
      <c r="E36" s="741"/>
      <c r="F36" s="741"/>
      <c r="G36" s="741"/>
      <c r="H36" s="741"/>
      <c r="I36" s="742">
        <v>0</v>
      </c>
      <c r="J36" s="742"/>
      <c r="K36" s="742">
        <v>5.2631578947368418E-2</v>
      </c>
      <c r="L36" s="742"/>
      <c r="M36" s="742">
        <v>0</v>
      </c>
      <c r="N36" s="742"/>
      <c r="O36" s="742">
        <v>5.2631578947368418E-2</v>
      </c>
      <c r="P36" s="742"/>
      <c r="Q36" s="743">
        <v>0</v>
      </c>
      <c r="R36" s="743"/>
      <c r="S36" s="743">
        <v>0</v>
      </c>
      <c r="T36" s="743"/>
      <c r="U36" s="743">
        <v>0</v>
      </c>
      <c r="V36" s="743"/>
      <c r="W36" s="743">
        <v>0</v>
      </c>
      <c r="X36" s="743"/>
      <c r="Y36" s="743">
        <v>0</v>
      </c>
      <c r="Z36" s="730"/>
      <c r="AB36" s="673"/>
      <c r="AD36" s="673"/>
      <c r="AF36" s="673"/>
      <c r="AH36" s="673"/>
      <c r="AJ36" s="673"/>
    </row>
    <row r="37" spans="2:36" ht="14.25" hidden="1" customHeight="1" x14ac:dyDescent="0.15">
      <c r="B37" s="674"/>
      <c r="C37" s="740">
        <v>2124874</v>
      </c>
      <c r="D37" s="675"/>
      <c r="E37" s="741"/>
      <c r="F37" s="741"/>
      <c r="G37" s="741"/>
      <c r="H37" s="741"/>
      <c r="I37" s="742">
        <v>0</v>
      </c>
      <c r="J37" s="742"/>
      <c r="K37" s="742">
        <v>7.9365079365079361E-3</v>
      </c>
      <c r="L37" s="742"/>
      <c r="M37" s="742">
        <v>3.968253968253968E-2</v>
      </c>
      <c r="N37" s="742"/>
      <c r="O37" s="742">
        <v>0.33333333333333331</v>
      </c>
      <c r="P37" s="742"/>
      <c r="Q37" s="743">
        <v>3.968253968253968E-2</v>
      </c>
      <c r="R37" s="743"/>
      <c r="S37" s="743">
        <v>0</v>
      </c>
      <c r="T37" s="743"/>
      <c r="U37" s="743">
        <v>7.9365079365079361E-3</v>
      </c>
      <c r="V37" s="743"/>
      <c r="W37" s="743">
        <v>0</v>
      </c>
      <c r="X37" s="743"/>
      <c r="Y37" s="743">
        <v>0</v>
      </c>
      <c r="Z37" s="730"/>
      <c r="AB37" s="673"/>
      <c r="AD37" s="673"/>
      <c r="AF37" s="673"/>
      <c r="AH37" s="673"/>
      <c r="AJ37" s="673"/>
    </row>
    <row r="38" spans="2:36" ht="14.25" hidden="1" customHeight="1" x14ac:dyDescent="0.15">
      <c r="B38" s="674"/>
      <c r="C38" s="740">
        <v>2417905</v>
      </c>
      <c r="D38" s="675"/>
      <c r="E38" s="741"/>
      <c r="F38" s="741"/>
      <c r="G38" s="741"/>
      <c r="H38" s="741"/>
      <c r="I38" s="742">
        <v>0</v>
      </c>
      <c r="J38" s="742"/>
      <c r="K38" s="742">
        <v>8.6206896551724137E-3</v>
      </c>
      <c r="L38" s="742"/>
      <c r="M38" s="742">
        <v>4.3103448275862072E-2</v>
      </c>
      <c r="N38" s="742"/>
      <c r="O38" s="742">
        <v>9.4827586206896547E-2</v>
      </c>
      <c r="P38" s="742"/>
      <c r="Q38" s="743">
        <v>0.14655172413793102</v>
      </c>
      <c r="R38" s="743"/>
      <c r="S38" s="743">
        <v>0</v>
      </c>
      <c r="T38" s="743"/>
      <c r="U38" s="743">
        <v>8.6206896551724137E-3</v>
      </c>
      <c r="V38" s="743"/>
      <c r="W38" s="743">
        <v>8.6206896551724137E-3</v>
      </c>
      <c r="X38" s="743"/>
      <c r="Y38" s="743">
        <v>0</v>
      </c>
      <c r="Z38" s="730"/>
      <c r="AB38" s="673"/>
      <c r="AD38" s="673"/>
      <c r="AF38" s="673"/>
      <c r="AH38" s="673"/>
      <c r="AJ38" s="673"/>
    </row>
    <row r="39" spans="2:36" ht="14.25" hidden="1" customHeight="1" x14ac:dyDescent="0.15">
      <c r="B39" s="674"/>
      <c r="C39" s="744">
        <v>321670</v>
      </c>
      <c r="D39" s="675"/>
      <c r="E39" s="741"/>
      <c r="F39" s="741"/>
      <c r="G39" s="741"/>
      <c r="H39" s="741"/>
      <c r="I39" s="742">
        <v>4.1666666666666664E-2</v>
      </c>
      <c r="J39" s="742"/>
      <c r="K39" s="742">
        <v>0.10416666666666667</v>
      </c>
      <c r="L39" s="742"/>
      <c r="M39" s="742">
        <v>2.0833333333333332E-2</v>
      </c>
      <c r="N39" s="742"/>
      <c r="O39" s="742">
        <v>0.52083333333333337</v>
      </c>
      <c r="P39" s="742"/>
      <c r="Q39" s="743">
        <v>8.3333333333333329E-2</v>
      </c>
      <c r="R39" s="743"/>
      <c r="S39" s="743">
        <v>4.1666666666666664E-2</v>
      </c>
      <c r="T39" s="743"/>
      <c r="U39" s="743">
        <v>2.0833333333333332E-2</v>
      </c>
      <c r="V39" s="743"/>
      <c r="W39" s="743">
        <v>0</v>
      </c>
      <c r="X39" s="743"/>
      <c r="Y39" s="743">
        <v>4.1666666666666664E-2</v>
      </c>
      <c r="Z39" s="730"/>
      <c r="AB39" s="673"/>
      <c r="AD39" s="673"/>
      <c r="AF39" s="673"/>
      <c r="AH39" s="673"/>
      <c r="AJ39" s="673"/>
    </row>
    <row r="41" spans="2:36" ht="36" customHeight="1" x14ac:dyDescent="0.15"/>
  </sheetData>
  <mergeCells count="39">
    <mergeCell ref="T24:U24"/>
    <mergeCell ref="V24:W24"/>
    <mergeCell ref="X24:Y24"/>
    <mergeCell ref="Z22:Z25"/>
    <mergeCell ref="C23:C25"/>
    <mergeCell ref="D23:E24"/>
    <mergeCell ref="F23:M23"/>
    <mergeCell ref="N23:Y23"/>
    <mergeCell ref="F24:G24"/>
    <mergeCell ref="H24:I24"/>
    <mergeCell ref="J24:K24"/>
    <mergeCell ref="L24:M24"/>
    <mergeCell ref="N24:O24"/>
    <mergeCell ref="T7:U7"/>
    <mergeCell ref="V7:W7"/>
    <mergeCell ref="X7:Y7"/>
    <mergeCell ref="B15:M15"/>
    <mergeCell ref="B18:M18"/>
    <mergeCell ref="B22:B25"/>
    <mergeCell ref="C22:M22"/>
    <mergeCell ref="N22:Y22"/>
    <mergeCell ref="P24:Q24"/>
    <mergeCell ref="R24:S24"/>
    <mergeCell ref="H7:I7"/>
    <mergeCell ref="J7:K7"/>
    <mergeCell ref="L7:M7"/>
    <mergeCell ref="N7:O7"/>
    <mergeCell ref="P7:Q7"/>
    <mergeCell ref="R7:S7"/>
    <mergeCell ref="B1:M1"/>
    <mergeCell ref="B5:B8"/>
    <mergeCell ref="C5:M5"/>
    <mergeCell ref="N5:Y5"/>
    <mergeCell ref="Z5:Z8"/>
    <mergeCell ref="C6:C8"/>
    <mergeCell ref="D6:E7"/>
    <mergeCell ref="F6:M6"/>
    <mergeCell ref="N6:Y6"/>
    <mergeCell ref="F7:G7"/>
  </mergeCells>
  <phoneticPr fontId="2"/>
  <printOptions horizontalCentered="1"/>
  <pageMargins left="0.39370078740157483" right="7.874015748031496E-2" top="0.59055118110236227" bottom="0.55118110236220474" header="0.51181102362204722" footer="0.15748031496062992"/>
  <pageSetup paperSize="9" scale="19" firstPageNumber="54" orientation="portrait" useFirstPageNumber="1" r:id="rId1"/>
  <headerFooter differentFirst="1" scaleWithDoc="0" alignWithMargins="0">
    <oddFooter>&amp;C&amp;"ＭＳ 明朝,標準"&amp;12- &amp;P -</oddFooter>
    <firstFooter>&amp;C&amp;"ＭＳ 明朝,標準"&amp;12- &amp;P -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13</vt:i4>
      </vt:variant>
    </vt:vector>
  </HeadingPairs>
  <TitlesOfParts>
    <vt:vector size="25" baseType="lpstr">
      <vt:lpstr>第１表</vt:lpstr>
      <vt:lpstr>第２、３表</vt:lpstr>
      <vt:lpstr>表4(1)～(3)</vt:lpstr>
      <vt:lpstr>表4(4)～(5)</vt:lpstr>
      <vt:lpstr>表4(6)～(7)</vt:lpstr>
      <vt:lpstr>表5市町村合計</vt:lpstr>
      <vt:lpstr>表6市町村別分類別</vt:lpstr>
      <vt:lpstr>表7</vt:lpstr>
      <vt:lpstr>別表第1</vt:lpstr>
      <vt:lpstr>別表第2-1</vt:lpstr>
      <vt:lpstr>別表第2-2①②</vt:lpstr>
      <vt:lpstr>別表第2-2③④</vt:lpstr>
      <vt:lpstr>第１表!Print_Area</vt:lpstr>
      <vt:lpstr>'第２、３表'!Print_Area</vt:lpstr>
      <vt:lpstr>'表4(1)～(3)'!Print_Area</vt:lpstr>
      <vt:lpstr>'表4(4)～(5)'!Print_Area</vt:lpstr>
      <vt:lpstr>'表4(6)～(7)'!Print_Area</vt:lpstr>
      <vt:lpstr>表5市町村合計!Print_Area</vt:lpstr>
      <vt:lpstr>表6市町村別分類別!Print_Area</vt:lpstr>
      <vt:lpstr>表7!Print_Area</vt:lpstr>
      <vt:lpstr>別表第1!Print_Area</vt:lpstr>
      <vt:lpstr>'別表第2-1'!Print_Area</vt:lpstr>
      <vt:lpstr>'別表第2-2①②'!Print_Area</vt:lpstr>
      <vt:lpstr>'別表第2-2③④'!Print_Area</vt:lpstr>
      <vt:lpstr>表7!Print_Titles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第１表～第３表</dc:title>
  <dc:creator>高橋　尚子</dc:creator>
  <cp:lastModifiedBy>新潟県</cp:lastModifiedBy>
  <cp:lastPrinted>2021-11-17T02:42:08Z</cp:lastPrinted>
  <dcterms:created xsi:type="dcterms:W3CDTF">1998-07-13T02:35:11Z</dcterms:created>
  <dcterms:modified xsi:type="dcterms:W3CDTF">2024-05-27T11:15:05Z</dcterms:modified>
</cp:coreProperties>
</file>